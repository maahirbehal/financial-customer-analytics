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maahirbehal/Desktop/"/>
    </mc:Choice>
  </mc:AlternateContent>
  <xr:revisionPtr revIDLastSave="0" documentId="8_{256A7AE1-6C1F-2348-84B6-541730CC1B98}" xr6:coauthVersionLast="47" xr6:coauthVersionMax="47" xr10:uidLastSave="{00000000-0000-0000-0000-000000000000}"/>
  <bookViews>
    <workbookView xWindow="0" yWindow="680" windowWidth="34200" windowHeight="21460" tabRatio="500" xr2:uid="{00000000-000D-0000-FFFF-FFFF00000000}"/>
  </bookViews>
  <sheets>
    <sheet name="Executive Summary" sheetId="1" r:id="rId1"/>
    <sheet name="MoM Growth" sheetId="2" r:id="rId2"/>
    <sheet name="Customer Segments" sheetId="3" r:id="rId3"/>
    <sheet name="Churn Report" sheetId="4" r:id="rId4"/>
    <sheet name="Branch Performance" sheetId="5" r:id="rId5"/>
    <sheet name="Cohort Heatmap" sheetId="6" r:id="rId6"/>
    <sheet name="Top Customers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7" i="2" l="1"/>
  <c r="G27" i="2"/>
  <c r="F27" i="2"/>
  <c r="E27" i="2"/>
  <c r="H26" i="2"/>
  <c r="G26" i="2"/>
  <c r="F26" i="2"/>
  <c r="E26" i="2"/>
  <c r="H25" i="2"/>
  <c r="G25" i="2"/>
  <c r="F25" i="2"/>
  <c r="E25" i="2"/>
  <c r="H24" i="2"/>
  <c r="G24" i="2"/>
  <c r="F24" i="2"/>
  <c r="E24" i="2"/>
  <c r="H23" i="2"/>
  <c r="G23" i="2"/>
  <c r="F23" i="2"/>
  <c r="E23" i="2"/>
  <c r="H22" i="2"/>
  <c r="G22" i="2"/>
  <c r="F22" i="2"/>
  <c r="E22" i="2"/>
  <c r="H21" i="2"/>
  <c r="G21" i="2"/>
  <c r="F21" i="2"/>
  <c r="E21" i="2"/>
  <c r="H20" i="2"/>
  <c r="G20" i="2"/>
  <c r="F20" i="2"/>
  <c r="E20" i="2"/>
  <c r="H19" i="2"/>
  <c r="G19" i="2"/>
  <c r="F19" i="2"/>
  <c r="E19" i="2"/>
  <c r="H18" i="2"/>
  <c r="G18" i="2"/>
  <c r="F18" i="2"/>
  <c r="E18" i="2"/>
  <c r="H17" i="2"/>
  <c r="G17" i="2"/>
  <c r="F17" i="2"/>
  <c r="E17" i="2"/>
  <c r="H16" i="2"/>
  <c r="G16" i="2"/>
  <c r="F16" i="2"/>
  <c r="E16" i="2"/>
  <c r="H15" i="2"/>
  <c r="G15" i="2"/>
  <c r="F15" i="2"/>
  <c r="E15" i="2"/>
  <c r="H14" i="2"/>
  <c r="G14" i="2"/>
  <c r="F14" i="2"/>
  <c r="E14" i="2"/>
  <c r="H13" i="2"/>
  <c r="G13" i="2"/>
  <c r="F13" i="2"/>
  <c r="E13" i="2"/>
  <c r="H12" i="2"/>
  <c r="G12" i="2"/>
  <c r="F12" i="2"/>
  <c r="E12" i="2"/>
  <c r="H11" i="2"/>
  <c r="G11" i="2"/>
  <c r="F11" i="2"/>
  <c r="E11" i="2"/>
  <c r="H10" i="2"/>
  <c r="G10" i="2"/>
  <c r="F10" i="2"/>
  <c r="E10" i="2"/>
  <c r="H9" i="2"/>
  <c r="G9" i="2"/>
  <c r="F9" i="2"/>
  <c r="E9" i="2"/>
  <c r="H8" i="2"/>
  <c r="G8" i="2"/>
  <c r="F8" i="2"/>
  <c r="E8" i="2"/>
  <c r="H7" i="2"/>
  <c r="G7" i="2"/>
  <c r="F7" i="2"/>
  <c r="E7" i="2"/>
  <c r="H6" i="2"/>
  <c r="G6" i="2"/>
  <c r="F6" i="2"/>
  <c r="E6" i="2"/>
  <c r="H5" i="2"/>
  <c r="G5" i="2"/>
  <c r="F5" i="2"/>
  <c r="E5" i="2"/>
  <c r="H4" i="2"/>
  <c r="G4" i="2"/>
</calcChain>
</file>

<file path=xl/sharedStrings.xml><?xml version="1.0" encoding="utf-8"?>
<sst xmlns="http://schemas.openxmlformats.org/spreadsheetml/2006/main" count="472" uniqueCount="276">
  <si>
    <t>FINANCIAL CUSTOMER ANALYTICS SYSTEM — EXECUTIVE SUMMARY</t>
  </si>
  <si>
    <t>KEY PERFORMANCE INDICATORS</t>
  </si>
  <si>
    <t>CUSTOMER SEGMENT BREAKDOWN</t>
  </si>
  <si>
    <t>Segment</t>
  </si>
  <si>
    <t>Customers</t>
  </si>
  <si>
    <t>Avg Annual Income</t>
  </si>
  <si>
    <t>Avg Balance</t>
  </si>
  <si>
    <t>Total Deposits</t>
  </si>
  <si>
    <t>Premium Loans</t>
  </si>
  <si>
    <t>% of Portfolio</t>
  </si>
  <si>
    <t>Premium</t>
  </si>
  <si>
    <t>$152,143</t>
  </si>
  <si>
    <t>$118,507</t>
  </si>
  <si>
    <t>$3,318,196</t>
  </si>
  <si>
    <t>39.4%</t>
  </si>
  <si>
    <t>Standard</t>
  </si>
  <si>
    <t>$77,647</t>
  </si>
  <si>
    <t>$14,891</t>
  </si>
  <si>
    <t>$759,441</t>
  </si>
  <si>
    <t>9.0%</t>
  </si>
  <si>
    <t>Basic</t>
  </si>
  <si>
    <t>$31,619</t>
  </si>
  <si>
    <t>$3,207</t>
  </si>
  <si>
    <t>$67,347</t>
  </si>
  <si>
    <t>0.8%</t>
  </si>
  <si>
    <t>KEY INSIGHTS</t>
  </si>
  <si>
    <t>▶  Premium customers (28% of base) hold 39% of all deposits — highest retention priority tier.</t>
  </si>
  <si>
    <t>▶  Trigger auto-flagged large transactions (&gt;$10,000) into the alerts table in real time.</t>
  </si>
  <si>
    <t>▶  1 customer flagged Delinquent in the stored procedure risk report — outstanding loan under review.</t>
  </si>
  <si>
    <t>▶  Cohort heatmap shows Month-0 cohorts retain at 80–85%; drops to ~40% by Month 6 — industry-typical.</t>
  </si>
  <si>
    <t>CUSTOMERS
100
Active in portfolio</t>
  </si>
  <si>
    <t>TRANSACTION VOL
$1,247,380
All completed transactions</t>
  </si>
  <si>
    <t>DEPOSITS (AUM)
$8,432,190
Sum of all balances</t>
  </si>
  <si>
    <t>LOAN BOOK
$9,651,200
Outstanding principal</t>
  </si>
  <si>
    <t>Month-over-Month Revenue Growth</t>
  </si>
  <si>
    <t>Monthly transaction revenue · MoM growth % · 3-month rolling average · Cumulative total</t>
  </si>
  <si>
    <t>Month</t>
  </si>
  <si>
    <t>Revenue ($)</t>
  </si>
  <si>
    <t>Transactions</t>
  </si>
  <si>
    <t>Unique Customers</t>
  </si>
  <si>
    <t>Prev Month ($)</t>
  </si>
  <si>
    <t>MoM Growth %</t>
  </si>
  <si>
    <t>3M Rolling Avg ($)</t>
  </si>
  <si>
    <t>Cumulative ($)</t>
  </si>
  <si>
    <t>2021-01</t>
  </si>
  <si>
    <t>-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</si>
  <si>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</si>
  <si>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</si>
  <si>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</si>
  <si>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</si>
  <si>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</si>
  <si>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</si>
  <si>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</si>
  <si>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</si>
  <si>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</si>
  <si>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</si>
  <si>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</si>
  <si>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</si>
  <si>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</si>
  <si>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</si>
  <si>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</si>
  <si>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</si>
  <si>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</si>
  <si>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</si>
  <si>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</si>
  <si>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</si>
  <si>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</si>
  <si>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</si>
  <si>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</si>
  <si>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Customer Segment Analysis</t>
  </si>
  <si>
    <t>Breakdown by segment and state · Income · Balance · Spend</t>
  </si>
  <si>
    <t>State</t>
  </si>
  <si>
    <t>Avg Income ($)</t>
  </si>
  <si>
    <t>Avg Balance ($)</t>
  </si>
  <si>
    <t>Total Balance ($)</t>
  </si>
  <si>
    <t>Total Spend ($)</t>
  </si>
  <si>
    <t>Avg Txn ($)</t>
  </si>
  <si>
    <t>NY</t>
  </si>
  <si>
    <t>CA</t>
  </si>
  <si>
    <t>TX</t>
  </si>
  <si>
    <t>MA</t>
  </si>
  <si>
    <t>WA</t>
  </si>
  <si>
    <t>IL</t>
  </si>
  <si>
    <t>GA</t>
  </si>
  <si>
    <t>AZ</t>
  </si>
  <si>
    <t>Customer Churn Risk Report</t>
  </si>
  <si>
    <t>Customers flagged by days since last transaction · High / Medium / Low risk classification</t>
  </si>
  <si>
    <t>HIGH RISK
8 Customers
365+ days inactive</t>
  </si>
  <si>
    <t>MEDIUM RISK
14 Customers
180–365 days</t>
  </si>
  <si>
    <t>LOW RISK
19 Customers
90–180 days</t>
  </si>
  <si>
    <t>ID</t>
  </si>
  <si>
    <t>Customer Name</t>
  </si>
  <si>
    <t>Email</t>
  </si>
  <si>
    <t>City</t>
  </si>
  <si>
    <t>Last Transaction</t>
  </si>
  <si>
    <t>Days Inactive</t>
  </si>
  <si>
    <t>Balance ($)</t>
  </si>
  <si>
    <t>Risk Level</t>
  </si>
  <si>
    <t>Daniel Harris</t>
  </si>
  <si>
    <t>daniel.harris@email.com</t>
  </si>
  <si>
    <t>Phoenix</t>
  </si>
  <si>
    <t>2020-08-15</t>
  </si>
  <si>
    <t>High Risk</t>
  </si>
  <si>
    <t>Sandra Hall</t>
  </si>
  <si>
    <t>sandra.hall@email.com</t>
  </si>
  <si>
    <t>New York</t>
  </si>
  <si>
    <t>2020-12-03</t>
  </si>
  <si>
    <t>Susan Martin</t>
  </si>
  <si>
    <t>susan.martin@email.com</t>
  </si>
  <si>
    <t>Boston</t>
  </si>
  <si>
    <t>2021-03-12</t>
  </si>
  <si>
    <t>Amanda Evans</t>
  </si>
  <si>
    <t>amanda.evans@email.com</t>
  </si>
  <si>
    <t>Los Angeles</t>
  </si>
  <si>
    <t>2021-05-22</t>
  </si>
  <si>
    <t>Betty Young</t>
  </si>
  <si>
    <t>betty.young@email.com</t>
  </si>
  <si>
    <t>2021-09-10</t>
  </si>
  <si>
    <t>Ashley Turner</t>
  </si>
  <si>
    <t>ashley.turner@email.com</t>
  </si>
  <si>
    <t>Seattle</t>
  </si>
  <si>
    <t>2021-11-18</t>
  </si>
  <si>
    <t>Samantha Morgan</t>
  </si>
  <si>
    <t>samantha.morgan@email.com</t>
  </si>
  <si>
    <t>Atlanta</t>
  </si>
  <si>
    <t>2022-02-04</t>
  </si>
  <si>
    <t>Amanda James</t>
  </si>
  <si>
    <t>amanda.james@email.com</t>
  </si>
  <si>
    <t>Chicago</t>
  </si>
  <si>
    <t>2022-04-20</t>
  </si>
  <si>
    <t>Robert Brown</t>
  </si>
  <si>
    <t>robert.brown@email.com</t>
  </si>
  <si>
    <t>2023-01-05</t>
  </si>
  <si>
    <t>Medium Risk</t>
  </si>
  <si>
    <t>Patricia Moore</t>
  </si>
  <si>
    <t>patricia.moore@email.com</t>
  </si>
  <si>
    <t>Houston</t>
  </si>
  <si>
    <t>2023-02-14</t>
  </si>
  <si>
    <t>Susan Martin B</t>
  </si>
  <si>
    <t>susan.martinb@email.com</t>
  </si>
  <si>
    <t>2023-03-08</t>
  </si>
  <si>
    <t>Dorothy Lee</t>
  </si>
  <si>
    <t>dorothy.lee@email.com</t>
  </si>
  <si>
    <t>2023-04-22</t>
  </si>
  <si>
    <t>Edward Wright</t>
  </si>
  <si>
    <t>edward.wright@email.com</t>
  </si>
  <si>
    <t>2023-05-11</t>
  </si>
  <si>
    <t>Ronald Baker</t>
  </si>
  <si>
    <t>ronald.baker@email.com</t>
  </si>
  <si>
    <t>2023-06-30</t>
  </si>
  <si>
    <t>Lisa Carter</t>
  </si>
  <si>
    <t>lisa.carter@email.com</t>
  </si>
  <si>
    <t>2023-07-14</t>
  </si>
  <si>
    <t>Kimberly Campbell</t>
  </si>
  <si>
    <t>kimberly.campbell@email.com</t>
  </si>
  <si>
    <t>2023-08-05</t>
  </si>
  <si>
    <t>Gregory Rogers</t>
  </si>
  <si>
    <t>gregory.rogers@email.com</t>
  </si>
  <si>
    <t>2023-09-22</t>
  </si>
  <si>
    <t>Frank Cook</t>
  </si>
  <si>
    <t>frank.cook@email.com</t>
  </si>
  <si>
    <t>2023-10-08</t>
  </si>
  <si>
    <t>Sarah Thompson</t>
  </si>
  <si>
    <t>sarah.thompson@email.com</t>
  </si>
  <si>
    <t>2023-11-18</t>
  </si>
  <si>
    <t>Low Risk</t>
  </si>
  <si>
    <t>Linda Davis</t>
  </si>
  <si>
    <t>linda.davis@email.com</t>
  </si>
  <si>
    <t>2023-12-01</t>
  </si>
  <si>
    <t>Charles Taylor</t>
  </si>
  <si>
    <t>charles.taylor@email.com</t>
  </si>
  <si>
    <t>2024-01-10</t>
  </si>
  <si>
    <t>Nancy White</t>
  </si>
  <si>
    <t>nancy.white@email.com</t>
  </si>
  <si>
    <t>2024-02-04</t>
  </si>
  <si>
    <t>Kenneth Allen</t>
  </si>
  <si>
    <t>kenneth.allen@email.com</t>
  </si>
  <si>
    <t>2024-03-15</t>
  </si>
  <si>
    <t>Carol Scott</t>
  </si>
  <si>
    <t>carol.scott@email.com</t>
  </si>
  <si>
    <t>2024-04-08</t>
  </si>
  <si>
    <t>Branch Performance Report</t>
  </si>
  <si>
    <t>Revenue · customer count · transactions · revenue per staff member · ranked by total revenue</t>
  </si>
  <si>
    <t>Rank</t>
  </si>
  <si>
    <t>Branch Name</t>
  </si>
  <si>
    <t>Region</t>
  </si>
  <si>
    <t>Staff</t>
  </si>
  <si>
    <t>Rev / Staff ($)</t>
  </si>
  <si>
    <t>West Coast HQ</t>
  </si>
  <si>
    <t>West</t>
  </si>
  <si>
    <t>Silicon Valley Branch</t>
  </si>
  <si>
    <t>San Francisco</t>
  </si>
  <si>
    <t>Downtown Financial Centre</t>
  </si>
  <si>
    <t>East</t>
  </si>
  <si>
    <t>Texas Financial Hub</t>
  </si>
  <si>
    <t>South</t>
  </si>
  <si>
    <t>Chicago Central</t>
  </si>
  <si>
    <t>Central</t>
  </si>
  <si>
    <t>Seattle Tech Hub</t>
  </si>
  <si>
    <t>Boston Academic District</t>
  </si>
  <si>
    <t>Midtown Business Hub</t>
  </si>
  <si>
    <t>Atlanta Business Centre</t>
  </si>
  <si>
    <t>Phoenix Desert Branch</t>
  </si>
  <si>
    <t>Customer Cohort Retention Heatmap</t>
  </si>
  <si>
    <t>Rows = signup cohort month  ·  Columns = months since first transaction  ·  Values = % of cohort still active</t>
  </si>
  <si>
    <t>Cohort</t>
  </si>
  <si>
    <t>M+0</t>
  </si>
  <si>
    <t>M+1</t>
  </si>
  <si>
    <t>M+2</t>
  </si>
  <si>
    <t>M+3</t>
  </si>
  <si>
    <t>M+4</t>
  </si>
  <si>
    <t>M+5</t>
  </si>
  <si>
    <t>M+6</t>
  </si>
  <si>
    <t>M+7</t>
  </si>
  <si>
    <t>M+8</t>
  </si>
  <si>
    <t>M+9</t>
  </si>
  <si>
    <t>M+10</t>
  </si>
  <si>
    <t>M+11</t>
  </si>
  <si>
    <t>M+12</t>
  </si>
  <si>
    <t>2023-01</t>
  </si>
  <si>
    <t>2023-04</t>
  </si>
  <si>
    <t>2023-07</t>
  </si>
  <si>
    <t>2023-10</t>
  </si>
  <si>
    <t>Colour scale:</t>
  </si>
  <si>
    <t>80–100%</t>
  </si>
  <si>
    <t>60–79%</t>
  </si>
  <si>
    <t>40–59%</t>
  </si>
  <si>
    <t>20–39%</t>
  </si>
  <si>
    <t>&lt; 20%</t>
  </si>
  <si>
    <t>Top 20 Customers by Projected 12-Month CLV</t>
  </si>
  <si>
    <t>Ranked by projected Customer Lifetime Value based on average monthly transaction spend</t>
  </si>
  <si>
    <t>Name</t>
  </si>
  <si>
    <t>Occupation</t>
  </si>
  <si>
    <t>Avg Monthly ($)</t>
  </si>
  <si>
    <t>Proj 12M CLV ($)</t>
  </si>
  <si>
    <t>Billy Hayes</t>
  </si>
  <si>
    <t>Real Estate Developer</t>
  </si>
  <si>
    <t>Justin Edwards</t>
  </si>
  <si>
    <t>Venture Capitalist</t>
  </si>
  <si>
    <t>Eugene Graham</t>
  </si>
  <si>
    <t>Quantitative Analyst</t>
  </si>
  <si>
    <t>Steven Walker</t>
  </si>
  <si>
    <t>Investment Banker</t>
  </si>
  <si>
    <t>Thomas Wilson</t>
  </si>
  <si>
    <t>Oil Engineer</t>
  </si>
  <si>
    <t>Aaron Cole</t>
  </si>
  <si>
    <t>Petroleum Geologist</t>
  </si>
  <si>
    <t>Arthur Peterson</t>
  </si>
  <si>
    <t>Hedge Fund Manager</t>
  </si>
  <si>
    <t>Wayne Coleman</t>
  </si>
  <si>
    <t>Business Owner</t>
  </si>
  <si>
    <t>Gary Phillips</t>
  </si>
  <si>
    <t>Portfolio Manager</t>
  </si>
  <si>
    <t>Kevin Mitchell</t>
  </si>
  <si>
    <t>Surgeon</t>
  </si>
  <si>
    <t>David Johnson</t>
  </si>
  <si>
    <t>Product Manager</t>
  </si>
  <si>
    <t>James Anderson</t>
  </si>
  <si>
    <t>Software Engineer</t>
  </si>
  <si>
    <t>Patrick Bailey</t>
  </si>
  <si>
    <t>Civil Engineer</t>
  </si>
  <si>
    <t>Walter Cooper</t>
  </si>
  <si>
    <t>Software Architect</t>
  </si>
  <si>
    <t>Barbara Jackson</t>
  </si>
  <si>
    <t>Lawyer</t>
  </si>
  <si>
    <t>Rebecca Morris</t>
  </si>
  <si>
    <t>Architect</t>
  </si>
  <si>
    <t>Michael Garcia</t>
  </si>
  <si>
    <t>Financial Analyst</t>
  </si>
  <si>
    <t>Brenda Bennett</t>
  </si>
  <si>
    <t>Radiologist</t>
  </si>
  <si>
    <t>Larry Kelly</t>
  </si>
  <si>
    <t>Pilot</t>
  </si>
  <si>
    <t>Virginia Richardson</t>
  </si>
  <si>
    <t>Data Engineer</t>
  </si>
  <si>
    <t xml:space="preserve"> MySQL + Excel Analytics Project | 100 Customers · 10 Branches · 600+ Transactions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</si>
</sst>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6D6D6D"/>
      <name val="Arial"/>
      <charset val="1"/>
    </font>
    <font>
      <b/>
      <sz val="9"/>
      <color rgb="FF1B3A6B"/>
      <name val="Arial"/>
      <charset val="1"/>
    </font>
    <font>
      <b/>
      <sz val="10"/>
      <color rgb="FFFFFFFF"/>
      <name val="Arial"/>
      <charset val="1"/>
    </font>
    <font>
      <sz val="10"/>
      <color rgb="FF2C2C2C"/>
      <name val="Arial"/>
      <charset val="1"/>
    </font>
    <font>
      <b/>
      <sz val="9"/>
      <color rgb="FFFFFFFF"/>
      <name val="Arial"/>
      <charset val="1"/>
    </font>
    <font>
      <b/>
      <sz val="11"/>
      <color rgb="FF1B3A6B"/>
      <name val="Arial"/>
      <charset val="1"/>
    </font>
    <font>
      <b/>
      <sz val="11"/>
      <color rgb="FFFFFFFF"/>
      <name val="Arial"/>
      <charset val="1"/>
    </font>
    <font>
      <b/>
      <sz val="10"/>
      <color rgb="FFC0392B"/>
      <name val="Arial"/>
      <charset val="1"/>
    </font>
    <font>
      <b/>
      <sz val="10"/>
      <color rgb="FFE67E22"/>
      <name val="Arial"/>
      <charset val="1"/>
    </font>
    <font>
      <b/>
      <sz val="10"/>
      <color rgb="FFB7950B"/>
      <name val="Arial"/>
      <charset val="1"/>
    </font>
    <font>
      <b/>
      <sz val="10"/>
      <color rgb="FF2C2C2C"/>
      <name val="Arial"/>
      <charset val="1"/>
    </font>
    <font>
      <b/>
      <sz val="9"/>
      <color rgb="FF2C2C2C"/>
      <name val="Arial"/>
      <charset val="1"/>
    </font>
    <font>
      <sz val="10"/>
      <color rgb="FF2C2C2C"/>
      <name val="Arial"/>
      <family val="2"/>
    </font>
    <font>
      <i/>
      <sz val="9"/>
      <color rgb="FF6D6D6D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333399"/>
      </patternFill>
    </fill>
    <fill>
      <patternFill patternType="solid">
        <fgColor rgb="FFD6E4F0"/>
        <bgColor rgb="FFD6EAF8"/>
      </patternFill>
    </fill>
    <fill>
      <patternFill patternType="solid">
        <fgColor rgb="FFFFFFFF"/>
        <bgColor rgb="FFF9F9F9"/>
      </patternFill>
    </fill>
    <fill>
      <patternFill patternType="solid">
        <fgColor rgb="FFF2F2F2"/>
        <bgColor rgb="FFEBF5FB"/>
      </patternFill>
    </fill>
    <fill>
      <patternFill patternType="solid">
        <fgColor rgb="FFEBF5FB"/>
        <bgColor rgb="FFEAFAF1"/>
      </patternFill>
    </fill>
    <fill>
      <patternFill patternType="solid">
        <fgColor rgb="FFD6EAF8"/>
        <bgColor rgb="FFD6E4F0"/>
      </patternFill>
    </fill>
    <fill>
      <patternFill patternType="solid">
        <fgColor rgb="FFEAFAF1"/>
        <bgColor rgb="FFEBF5FB"/>
      </patternFill>
    </fill>
    <fill>
      <patternFill patternType="solid">
        <fgColor rgb="FFFEF9E7"/>
        <bgColor rgb="FFFEF5E7"/>
      </patternFill>
    </fill>
    <fill>
      <patternFill patternType="solid">
        <fgColor rgb="FFC0392B"/>
        <bgColor rgb="FFC0504D"/>
      </patternFill>
    </fill>
    <fill>
      <patternFill patternType="solid">
        <fgColor rgb="FFE67E22"/>
        <bgColor rgb="FFFF9900"/>
      </patternFill>
    </fill>
    <fill>
      <patternFill patternType="solid">
        <fgColor rgb="FFB7950B"/>
        <bgColor rgb="FFC9A84C"/>
      </patternFill>
    </fill>
    <fill>
      <patternFill patternType="solid">
        <fgColor rgb="FFFADBD8"/>
        <bgColor rgb="FFFDEBD0"/>
      </patternFill>
    </fill>
    <fill>
      <patternFill patternType="solid">
        <fgColor rgb="FFFDEBD0"/>
        <bgColor rgb="FFFEF5E7"/>
      </patternFill>
    </fill>
    <fill>
      <patternFill patternType="solid">
        <fgColor rgb="FFFEF5E7"/>
        <bgColor rgb="FFFEF9E7"/>
      </patternFill>
    </fill>
    <fill>
      <patternFill patternType="solid">
        <fgColor rgb="FF1F618D"/>
        <bgColor rgb="FF1E7145"/>
      </patternFill>
    </fill>
    <fill>
      <patternFill patternType="solid">
        <fgColor rgb="FFDDDDDD"/>
        <bgColor rgb="FFD9D9D9"/>
      </patternFill>
    </fill>
    <fill>
      <patternFill patternType="solid">
        <fgColor rgb="FF1E7145"/>
        <bgColor rgb="FF1F618D"/>
      </patternFill>
    </fill>
    <fill>
      <patternFill patternType="solid">
        <fgColor rgb="FF27AE60"/>
        <bgColor rgb="FF008080"/>
      </patternFill>
    </fill>
    <fill>
      <patternFill patternType="solid">
        <fgColor rgb="FFF9E79F"/>
        <bgColor rgb="FFFDEBD0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8" fillId="12" borderId="3" xfId="0" applyFont="1" applyFill="1" applyBorder="1" applyAlignment="1">
      <alignment horizontal="center" vertical="center" wrapText="1"/>
    </xf>
    <xf numFmtId="0" fontId="8" fillId="11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left" vertical="center" indent="1"/>
    </xf>
    <xf numFmtId="0" fontId="6" fillId="2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9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12" fillId="0" borderId="0" xfId="0" applyFont="1"/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6" borderId="2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EF5E7"/>
      <rgbColor rgb="FFFF00FF"/>
      <rgbColor rgb="FF00FFFF"/>
      <rgbColor rgb="FF800000"/>
      <rgbColor rgb="FF008000"/>
      <rgbColor rgb="FF000080"/>
      <rgbColor rgb="FFB7950B"/>
      <rgbColor rgb="FF800080"/>
      <rgbColor rgb="FF1E7145"/>
      <rgbColor rgb="FFCCCCCC"/>
      <rgbColor rgb="FF878787"/>
      <rgbColor rgb="FF9999FF"/>
      <rgbColor rgb="FFC0504D"/>
      <rgbColor rgb="FFFEF9E7"/>
      <rgbColor rgb="FFD6EAF8"/>
      <rgbColor rgb="FF660066"/>
      <rgbColor rgb="FFFF8080"/>
      <rgbColor rgb="FF1F618D"/>
      <rgbColor rgb="FFD9D9D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AFAF1"/>
      <rgbColor rgb="FFEBF5FB"/>
      <rgbColor rgb="FFF9E79F"/>
      <rgbColor rgb="FFD6E4F0"/>
      <rgbColor rgb="FFFDEBD0"/>
      <rgbColor rgb="FFDDDDDD"/>
      <rgbColor rgb="FFFADBD8"/>
      <rgbColor rgb="FF4F81BD"/>
      <rgbColor rgb="FF33CCCC"/>
      <rgbColor rgb="FF9BBB59"/>
      <rgbColor rgb="FFF9F9F9"/>
      <rgbColor rgb="FFFF9900"/>
      <rgbColor rgb="FFE67E22"/>
      <rgbColor rgb="FF6D6D6D"/>
      <rgbColor rgb="FFC9A84C"/>
      <rgbColor rgb="FF1B3A6B"/>
      <rgbColor rgb="FF27AE60"/>
      <rgbColor rgb="FF003300"/>
      <rgbColor rgb="FF333300"/>
      <rgbColor rgb="FFC0392B"/>
      <rgbColor rgb="FF993366"/>
      <rgbColor rgb="FF333399"/>
      <rgbColor rgb="FF2C2C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Monthly Revenue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'MoM Growth'!$B$3</c:f>
              <c:strCache>
                <c:ptCount val="1"/>
                <c:pt idx="0">
                  <c:v>Revenue ($)</c:v>
                </c:pt>
              </c:strCache>
            </c:strRef>
          </c:tx>
          <c:spPr>
            <a:ln w="20160">
              <a:solidFill>
                <a:srgbClr val="1B3A6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'MoM Growth'!$A$4:$A$27</c:f>
              <c:strCache>
                <c:ptCount val="24"/>
                <c:pt idx="0">
                  <c:v>2021-01</c:v>
                </c:pt>
                <c:pt idx="1">
                  <c:v>2021-02</c:v>
                </c:pt>
                <c:pt idx="2">
                  <c:v>2021-03</c:v>
                </c:pt>
                <c:pt idx="3">
                  <c:v>2021-04</c:v>
                </c:pt>
                <c:pt idx="4">
                  <c:v>2021-05</c:v>
                </c:pt>
                <c:pt idx="5">
                  <c:v>2021-06</c:v>
                </c:pt>
                <c:pt idx="6">
                  <c:v>2021-07</c:v>
                </c:pt>
                <c:pt idx="7">
                  <c:v>2021-08</c:v>
                </c:pt>
                <c:pt idx="8">
                  <c:v>2021-09</c:v>
                </c:pt>
                <c:pt idx="9">
                  <c:v>2021-10</c:v>
                </c:pt>
                <c:pt idx="10">
                  <c:v>2021-11</c:v>
                </c:pt>
                <c:pt idx="11">
                  <c:v>2021-12</c:v>
                </c:pt>
                <c:pt idx="12">
                  <c:v>2022-01</c:v>
                </c:pt>
                <c:pt idx="13">
                  <c:v>2022-02</c:v>
                </c:pt>
                <c:pt idx="14">
                  <c:v>2022-03</c:v>
                </c:pt>
                <c:pt idx="15">
                  <c:v>2022-04</c:v>
                </c:pt>
                <c:pt idx="16">
                  <c:v>2022-05</c:v>
                </c:pt>
                <c:pt idx="17">
                  <c:v>2022-06</c:v>
                </c:pt>
                <c:pt idx="18">
                  <c:v>2022-07</c:v>
                </c:pt>
                <c:pt idx="19">
                  <c:v>2022-08</c:v>
                </c:pt>
                <c:pt idx="20">
                  <c:v>2022-09</c:v>
                </c:pt>
                <c:pt idx="21">
                  <c:v>2022-10</c:v>
                </c:pt>
                <c:pt idx="22">
                  <c:v>2022-11</c:v>
                </c:pt>
                <c:pt idx="23">
                  <c:v>2022-12</c:v>
                </c:pt>
              </c:strCache>
            </c:strRef>
          </c:cat>
          <c:val>
            <c:numRef>
              <c:f>'MoM Growth'!$B$4:$B$27</c:f>
              <c:numCache>
                <c:formatCode>General</c:formatCode>
                <c:ptCount val="24"/>
                <c:pt idx="0">
                  <c:v>42300</c:v>
                </c:pt>
                <c:pt idx="1">
                  <c:v>38900</c:v>
                </c:pt>
                <c:pt idx="2">
                  <c:v>51200</c:v>
                </c:pt>
                <c:pt idx="3">
                  <c:v>47800</c:v>
                </c:pt>
                <c:pt idx="4">
                  <c:v>53400</c:v>
                </c:pt>
                <c:pt idx="5">
                  <c:v>61200</c:v>
                </c:pt>
                <c:pt idx="6">
                  <c:v>58700</c:v>
                </c:pt>
                <c:pt idx="7">
                  <c:v>65400</c:v>
                </c:pt>
                <c:pt idx="8">
                  <c:v>72100</c:v>
                </c:pt>
                <c:pt idx="9">
                  <c:v>68900</c:v>
                </c:pt>
                <c:pt idx="10">
                  <c:v>74300</c:v>
                </c:pt>
                <c:pt idx="11">
                  <c:v>82500</c:v>
                </c:pt>
                <c:pt idx="12">
                  <c:v>79200</c:v>
                </c:pt>
                <c:pt idx="13">
                  <c:v>85600</c:v>
                </c:pt>
                <c:pt idx="14">
                  <c:v>91300</c:v>
                </c:pt>
                <c:pt idx="15">
                  <c:v>88700</c:v>
                </c:pt>
                <c:pt idx="16">
                  <c:v>96400</c:v>
                </c:pt>
                <c:pt idx="17">
                  <c:v>103200</c:v>
                </c:pt>
                <c:pt idx="18">
                  <c:v>98700</c:v>
                </c:pt>
                <c:pt idx="19">
                  <c:v>107400</c:v>
                </c:pt>
                <c:pt idx="20">
                  <c:v>115600</c:v>
                </c:pt>
                <c:pt idx="21">
                  <c:v>112300</c:v>
                </c:pt>
                <c:pt idx="22">
                  <c:v>121800</c:v>
                </c:pt>
                <c:pt idx="23">
                  <c:v>131400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A66-C342-86D9-4C5C13CCCEAC}"/>
            </c:ext>
          </c:extLst>
        </c:ser>
        <c:ser>
          <c:idx val="1"/>
          <c:order val="1"/>
          <c:tx>
            <c:strRef>
              <c:f>'MoM Growth'!$G$3</c:f>
              <c:strCache>
                <c:ptCount val="1"/>
                <c:pt idx="0">
                  <c:v>3M Rolling Avg ($)</c:v>
                </c:pt>
              </c:strCache>
            </c:strRef>
          </c:tx>
          <c:spPr>
            <a:ln w="15120">
              <a:solidFill>
                <a:srgbClr val="C9A84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'MoM Growth'!$A$4:$A$27</c:f>
              <c:strCache>
                <c:ptCount val="24"/>
                <c:pt idx="0">
                  <c:v>2021-01</c:v>
                </c:pt>
                <c:pt idx="1">
                  <c:v>2021-02</c:v>
                </c:pt>
                <c:pt idx="2">
                  <c:v>2021-03</c:v>
                </c:pt>
                <c:pt idx="3">
                  <c:v>2021-04</c:v>
                </c:pt>
                <c:pt idx="4">
                  <c:v>2021-05</c:v>
                </c:pt>
                <c:pt idx="5">
                  <c:v>2021-06</c:v>
                </c:pt>
                <c:pt idx="6">
                  <c:v>2021-07</c:v>
                </c:pt>
                <c:pt idx="7">
                  <c:v>2021-08</c:v>
                </c:pt>
                <c:pt idx="8">
                  <c:v>2021-09</c:v>
                </c:pt>
                <c:pt idx="9">
                  <c:v>2021-10</c:v>
                </c:pt>
                <c:pt idx="10">
                  <c:v>2021-11</c:v>
                </c:pt>
                <c:pt idx="11">
                  <c:v>2021-12</c:v>
                </c:pt>
                <c:pt idx="12">
                  <c:v>2022-01</c:v>
                </c:pt>
                <c:pt idx="13">
                  <c:v>2022-02</c:v>
                </c:pt>
                <c:pt idx="14">
                  <c:v>2022-03</c:v>
                </c:pt>
                <c:pt idx="15">
                  <c:v>2022-04</c:v>
                </c:pt>
                <c:pt idx="16">
                  <c:v>2022-05</c:v>
                </c:pt>
                <c:pt idx="17">
                  <c:v>2022-06</c:v>
                </c:pt>
                <c:pt idx="18">
                  <c:v>2022-07</c:v>
                </c:pt>
                <c:pt idx="19">
                  <c:v>2022-08</c:v>
                </c:pt>
                <c:pt idx="20">
                  <c:v>2022-09</c:v>
                </c:pt>
                <c:pt idx="21">
                  <c:v>2022-10</c:v>
                </c:pt>
                <c:pt idx="22">
                  <c:v>2022-11</c:v>
                </c:pt>
                <c:pt idx="23">
                  <c:v>2022-12</c:v>
                </c:pt>
              </c:strCache>
            </c:strRef>
          </c:cat>
          <c:val>
            <c:numRef>
              <c:f>'MoM Growth'!$G$4:$G$27</c:f>
              <c:numCache>
                <c:formatCode>General</c:formatCode>
                <c:ptCount val="24"/>
                <c:pt idx="0">
                  <c:v>42300</c:v>
                </c:pt>
                <c:pt idx="1">
                  <c:v>40600</c:v>
                </c:pt>
                <c:pt idx="2">
                  <c:v>44133</c:v>
                </c:pt>
                <c:pt idx="3">
                  <c:v>45967</c:v>
                </c:pt>
                <c:pt idx="4">
                  <c:v>50800</c:v>
                </c:pt>
                <c:pt idx="5">
                  <c:v>54133</c:v>
                </c:pt>
                <c:pt idx="6">
                  <c:v>57767</c:v>
                </c:pt>
                <c:pt idx="7">
                  <c:v>61767</c:v>
                </c:pt>
                <c:pt idx="8">
                  <c:v>65400</c:v>
                </c:pt>
                <c:pt idx="9">
                  <c:v>68800</c:v>
                </c:pt>
                <c:pt idx="10">
                  <c:v>71767</c:v>
                </c:pt>
                <c:pt idx="11">
                  <c:v>75233</c:v>
                </c:pt>
                <c:pt idx="12">
                  <c:v>78667</c:v>
                </c:pt>
                <c:pt idx="13">
                  <c:v>82433</c:v>
                </c:pt>
                <c:pt idx="14">
                  <c:v>85367</c:v>
                </c:pt>
                <c:pt idx="15">
                  <c:v>88533</c:v>
                </c:pt>
                <c:pt idx="16">
                  <c:v>92133</c:v>
                </c:pt>
                <c:pt idx="17">
                  <c:v>96100</c:v>
                </c:pt>
                <c:pt idx="18">
                  <c:v>99433</c:v>
                </c:pt>
                <c:pt idx="19">
                  <c:v>103100</c:v>
                </c:pt>
                <c:pt idx="20">
                  <c:v>107233</c:v>
                </c:pt>
                <c:pt idx="21">
                  <c:v>111767</c:v>
                </c:pt>
                <c:pt idx="22">
                  <c:v>116567</c:v>
                </c:pt>
                <c:pt idx="23">
                  <c:v>121833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A66-C342-86D9-4C5C13CCCE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3454294"/>
        <c:axId val="83253937"/>
      </c:lineChart>
      <c:catAx>
        <c:axId val="434542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253937"/>
        <c:crosses val="autoZero"/>
        <c:auto val="1"/>
        <c:lblAlgn val="ctr"/>
        <c:lblOffset val="100"/>
        <c:noMultiLvlLbl val="0"/>
      </c:catAx>
      <c:valAx>
        <c:axId val="832539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Revenue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34542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Customer Distribution by Segment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'Customer Segments'!$K$3</c:f>
              <c:strCache>
                <c:ptCount val="1"/>
                <c:pt idx="0">
                  <c:v>Customers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1941-CC40-A3FD-A764487534A7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1941-CC40-A3FD-A764487534A7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1941-CC40-A3FD-A764487534A7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1941-CC40-A3FD-A764487534A7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1941-CC40-A3FD-A764487534A7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1941-CC40-A3FD-A764487534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'Customer Segments'!$J$4:$J$6</c:f>
              <c:strCache>
                <c:ptCount val="3"/>
                <c:pt idx="0">
                  <c:v>Premium</c:v>
                </c:pt>
                <c:pt idx="1">
                  <c:v>Standard</c:v>
                </c:pt>
                <c:pt idx="2">
                  <c:v>Basic</c:v>
                </c:pt>
              </c:strCache>
            </c:strRef>
          </c:cat>
          <c:val>
            <c:numRef>
              <c:f>'Customer Segments'!$K$4:$K$6</c:f>
              <c:numCache>
                <c:formatCode>General</c:formatCode>
                <c:ptCount val="3"/>
                <c:pt idx="0">
                  <c:v>28</c:v>
                </c:pt>
                <c:pt idx="1">
                  <c:v>51</c:v>
                </c:pt>
                <c:pt idx="2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941-CC40-A3FD-A76448753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Revenue by Branch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'Branch Performance'!$H$3</c:f>
              <c:strCache>
                <c:ptCount val="1"/>
                <c:pt idx="0">
                  <c:v>Revenue ($)</c:v>
                </c:pt>
              </c:strCache>
            </c:strRef>
          </c:tx>
          <c:spPr>
            <a:solidFill>
              <a:srgbClr val="1B3A6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'Branch Performance'!$B$4:$B$13</c:f>
              <c:strCache>
                <c:ptCount val="10"/>
                <c:pt idx="0">
                  <c:v>West Coast HQ</c:v>
                </c:pt>
                <c:pt idx="1">
                  <c:v>Silicon Valley Branch</c:v>
                </c:pt>
                <c:pt idx="2">
                  <c:v>Downtown Financial Centre</c:v>
                </c:pt>
                <c:pt idx="3">
                  <c:v>Texas Financial Hub</c:v>
                </c:pt>
                <c:pt idx="4">
                  <c:v>Chicago Central</c:v>
                </c:pt>
                <c:pt idx="5">
                  <c:v>Seattle Tech Hub</c:v>
                </c:pt>
                <c:pt idx="6">
                  <c:v>Boston Academic District</c:v>
                </c:pt>
                <c:pt idx="7">
                  <c:v>Midtown Business Hub</c:v>
                </c:pt>
                <c:pt idx="8">
                  <c:v>Atlanta Business Centre</c:v>
                </c:pt>
                <c:pt idx="9">
                  <c:v>Phoenix Desert Branch</c:v>
                </c:pt>
              </c:strCache>
            </c:strRef>
          </c:cat>
          <c:val>
            <c:numRef>
              <c:f>'Branch Performance'!$H$4:$H$13</c:f>
              <c:numCache>
                <c:formatCode>General</c:formatCode>
                <c:ptCount val="10"/>
                <c:pt idx="0">
                  <c:v>131400</c:v>
                </c:pt>
                <c:pt idx="1">
                  <c:v>121800</c:v>
                </c:pt>
                <c:pt idx="2">
                  <c:v>115600</c:v>
                </c:pt>
                <c:pt idx="3">
                  <c:v>112300</c:v>
                </c:pt>
                <c:pt idx="4">
                  <c:v>107400</c:v>
                </c:pt>
                <c:pt idx="5">
                  <c:v>103200</c:v>
                </c:pt>
                <c:pt idx="6">
                  <c:v>96400</c:v>
                </c:pt>
                <c:pt idx="7">
                  <c:v>88700</c:v>
                </c:pt>
                <c:pt idx="8">
                  <c:v>79200</c:v>
                </c:pt>
                <c:pt idx="9">
                  <c:v>74300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5F-FF41-A58C-37BC98510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201563"/>
        <c:axId val="18673119"/>
      </c:barChart>
      <c:catAx>
        <c:axId val="14201563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Revenue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8673119"/>
        <c:crosses val="autoZero"/>
        <c:auto val="1"/>
        <c:lblAlgn val="ctr"/>
        <c:lblOffset val="100"/>
        <c:noMultiLvlLbl val="0"/>
      </c:catAx>
      <c:valAx>
        <c:axId val="1867311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Branch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42015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Top 10 — Projected 12M CLV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'Top Customers'!$I$3</c:f>
              <c:strCache>
                <c:ptCount val="1"/>
                <c:pt idx="0">
                  <c:v>Proj 12M CLV ($)</c:v>
                </c:pt>
              </c:strCache>
            </c:strRef>
          </c:tx>
          <c:spPr>
            <a:solidFill>
              <a:srgbClr val="C9A84C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'Top Customers'!$B$4:$B$13</c:f>
              <c:strCache>
                <c:ptCount val="10"/>
                <c:pt idx="0">
                  <c:v>Billy Hayes</c:v>
                </c:pt>
                <c:pt idx="1">
                  <c:v>Justin Edwards</c:v>
                </c:pt>
                <c:pt idx="2">
                  <c:v>Eugene Graham</c:v>
                </c:pt>
                <c:pt idx="3">
                  <c:v>Steven Walker</c:v>
                </c:pt>
                <c:pt idx="4">
                  <c:v>Thomas Wilson</c:v>
                </c:pt>
                <c:pt idx="5">
                  <c:v>Aaron Cole</c:v>
                </c:pt>
                <c:pt idx="6">
                  <c:v>Arthur Peterson</c:v>
                </c:pt>
                <c:pt idx="7">
                  <c:v>Wayne Coleman</c:v>
                </c:pt>
                <c:pt idx="8">
                  <c:v>Gary Phillips</c:v>
                </c:pt>
                <c:pt idx="9">
                  <c:v>Kevin Mitchell</c:v>
                </c:pt>
              </c:strCache>
            </c:strRef>
          </c:cat>
          <c:val>
            <c:numRef>
              <c:f>'Top Customers'!$I$4:$I$13</c:f>
              <c:numCache>
                <c:formatCode>General</c:formatCode>
                <c:ptCount val="10"/>
                <c:pt idx="0">
                  <c:v>312800</c:v>
                </c:pt>
                <c:pt idx="1">
                  <c:v>298400</c:v>
                </c:pt>
                <c:pt idx="2">
                  <c:v>287200</c:v>
                </c:pt>
                <c:pt idx="3">
                  <c:v>274600</c:v>
                </c:pt>
                <c:pt idx="4">
                  <c:v>261300</c:v>
                </c:pt>
                <c:pt idx="5">
                  <c:v>248900</c:v>
                </c:pt>
                <c:pt idx="6">
                  <c:v>236400</c:v>
                </c:pt>
                <c:pt idx="7">
                  <c:v>223800</c:v>
                </c:pt>
                <c:pt idx="8">
                  <c:v>211200</c:v>
                </c:pt>
                <c:pt idx="9">
                  <c:v>198600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A0-3142-B2A8-D64D4EC72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3408943"/>
        <c:axId val="90948883"/>
      </c:barChart>
      <c:catAx>
        <c:axId val="83408943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CLV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0948883"/>
        <c:crosses val="autoZero"/>
        <c:auto val="1"/>
        <c:lblAlgn val="ctr"/>
        <c:lblOffset val="100"/>
        <c:noMultiLvlLbl val="0"/>
      </c:catAx>
      <c:valAx>
        <c:axId val="9094888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Customer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4089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21</xdr:col>
      <xdr:colOff>581400</xdr:colOff>
      <xdr:row>26</xdr:row>
      <xdr:rowOff>86760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6</xdr:row>
      <xdr:rowOff>0</xdr:rowOff>
    </xdr:from>
    <xdr:to>
      <xdr:col>16</xdr:col>
      <xdr:colOff>431640</xdr:colOff>
      <xdr:row>28</xdr:row>
      <xdr:rowOff>5040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20</xdr:col>
      <xdr:colOff>473040</xdr:colOff>
      <xdr:row>27</xdr:row>
      <xdr:rowOff>20160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2</xdr:row>
      <xdr:rowOff>0</xdr:rowOff>
    </xdr:from>
    <xdr:to>
      <xdr:col>21</xdr:col>
      <xdr:colOff>473040</xdr:colOff>
      <xdr:row>26</xdr:row>
      <xdr:rowOff>115200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7"/>
  <sheetViews>
    <sheetView showGridLines="0" tabSelected="1" zoomScale="139" zoomScaleNormal="100" workbookViewId="0">
      <pane ySplit="4" topLeftCell="A5" activePane="bottomLeft" state="frozen"/>
      <selection pane="bottomLeft" activeCell="A18" sqref="A18:L18"/>
    </sheetView>
  </sheetViews>
  <sheetFormatPr baseColWidth="10" defaultColWidth="8.6640625" defaultRowHeight="15" x14ac:dyDescent="0.2"/>
  <cols>
    <col min="1" max="12" width="14" customWidth="1"/>
  </cols>
  <sheetData>
    <row r="1" spans="1:12" ht="37.5" customHeight="1" x14ac:dyDescent="0.2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2" spans="1:12" ht="18" customHeight="1" x14ac:dyDescent="0.2">
      <c r="A2" s="33" t="s">
        <v>275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4" spans="1:12" ht="18" customHeight="1" x14ac:dyDescent="0.2">
      <c r="A4" s="7" t="s">
        <v>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ht="19.5" customHeight="1" x14ac:dyDescent="0.2">
      <c r="A5" s="4" t="s">
        <v>30</v>
      </c>
      <c r="B5" s="4"/>
      <c r="C5" s="4"/>
      <c r="D5" s="4" t="s">
        <v>31</v>
      </c>
      <c r="E5" s="4"/>
      <c r="F5" s="4"/>
      <c r="G5" s="4" t="s">
        <v>32</v>
      </c>
      <c r="H5" s="4"/>
      <c r="I5" s="4"/>
      <c r="J5" s="4" t="s">
        <v>33</v>
      </c>
      <c r="K5" s="4"/>
      <c r="L5" s="4"/>
    </row>
    <row r="6" spans="1:12" ht="19.5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12" ht="19.5" customHeight="1" x14ac:dyDescent="0.2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9" spans="1:12" ht="18" customHeight="1" x14ac:dyDescent="0.2">
      <c r="A9" s="7" t="s">
        <v>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ht="27.75" customHeight="1" x14ac:dyDescent="0.2">
      <c r="A10" s="10" t="s">
        <v>3</v>
      </c>
      <c r="B10" s="10" t="s">
        <v>4</v>
      </c>
      <c r="C10" s="10" t="s">
        <v>5</v>
      </c>
      <c r="D10" s="10" t="s">
        <v>6</v>
      </c>
      <c r="E10" s="10" t="s">
        <v>7</v>
      </c>
      <c r="F10" s="10" t="s">
        <v>8</v>
      </c>
      <c r="G10" s="10" t="s">
        <v>9</v>
      </c>
    </row>
    <row r="11" spans="1:12" ht="15.75" customHeight="1" x14ac:dyDescent="0.2">
      <c r="A11" s="11" t="s">
        <v>10</v>
      </c>
      <c r="B11" s="11">
        <v>28</v>
      </c>
      <c r="C11" s="11" t="s">
        <v>11</v>
      </c>
      <c r="D11" s="11" t="s">
        <v>12</v>
      </c>
      <c r="E11" s="11" t="s">
        <v>13</v>
      </c>
      <c r="F11" s="11">
        <v>14</v>
      </c>
      <c r="G11" s="11" t="s">
        <v>14</v>
      </c>
    </row>
    <row r="12" spans="1:12" ht="15.75" customHeight="1" x14ac:dyDescent="0.2">
      <c r="A12" s="12" t="s">
        <v>15</v>
      </c>
      <c r="B12" s="12">
        <v>51</v>
      </c>
      <c r="C12" s="12" t="s">
        <v>16</v>
      </c>
      <c r="D12" s="12" t="s">
        <v>17</v>
      </c>
      <c r="E12" s="12" t="s">
        <v>18</v>
      </c>
      <c r="F12" s="12">
        <v>12</v>
      </c>
      <c r="G12" s="12" t="s">
        <v>19</v>
      </c>
    </row>
    <row r="13" spans="1:12" ht="15.75" customHeight="1" x14ac:dyDescent="0.2">
      <c r="A13" s="11" t="s">
        <v>20</v>
      </c>
      <c r="B13" s="11">
        <v>21</v>
      </c>
      <c r="C13" s="11" t="s">
        <v>21</v>
      </c>
      <c r="D13" s="11" t="s">
        <v>22</v>
      </c>
      <c r="E13" s="11" t="s">
        <v>23</v>
      </c>
      <c r="F13" s="11">
        <v>4</v>
      </c>
      <c r="G13" s="11" t="s">
        <v>24</v>
      </c>
    </row>
    <row r="15" spans="1:12" ht="18" customHeight="1" x14ac:dyDescent="0.2">
      <c r="A15" s="6" t="s">
        <v>25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 ht="18" customHeight="1" x14ac:dyDescent="0.2">
      <c r="A16" s="5" t="s">
        <v>26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</row>
    <row r="17" spans="1:12" ht="18" customHeight="1" x14ac:dyDescent="0.2">
      <c r="A17" s="5" t="s">
        <v>27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</row>
    <row r="18" spans="1:12" ht="18" customHeight="1" x14ac:dyDescent="0.2">
      <c r="A18" s="34" t="s">
        <v>28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</row>
    <row r="19" spans="1:12" ht="18" customHeight="1" x14ac:dyDescent="0.2">
      <c r="A19" s="5" t="s">
        <v>29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</row>
    <row r="55" spans="1:12" ht="15" customHeight="1" x14ac:dyDescent="0.2">
      <c r="A55" s="4" t="s">
        <v>30</v>
      </c>
      <c r="B55" s="4"/>
      <c r="C55" s="4"/>
      <c r="D55" s="4" t="s">
        <v>31</v>
      </c>
      <c r="E55" s="4"/>
      <c r="F55" s="4"/>
      <c r="G55" s="4" t="s">
        <v>32</v>
      </c>
      <c r="H55" s="4"/>
      <c r="I55" s="4"/>
      <c r="J55" s="4" t="s">
        <v>33</v>
      </c>
      <c r="K55" s="4"/>
      <c r="L55" s="4"/>
    </row>
    <row r="56" spans="1:12" x14ac:dyDescent="0.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</row>
    <row r="57" spans="1:12" x14ac:dyDescent="0.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</row>
  </sheetData>
  <mergeCells count="17">
    <mergeCell ref="A16:L16"/>
    <mergeCell ref="A17:L17"/>
    <mergeCell ref="A18:L18"/>
    <mergeCell ref="A19:L19"/>
    <mergeCell ref="A55:C57"/>
    <mergeCell ref="D55:F57"/>
    <mergeCell ref="G55:I57"/>
    <mergeCell ref="J55:L57"/>
    <mergeCell ref="A1:L1"/>
    <mergeCell ref="A2:L2"/>
    <mergeCell ref="A4:L4"/>
    <mergeCell ref="A9:L9"/>
    <mergeCell ref="A15:L15"/>
    <mergeCell ref="A5:C7"/>
    <mergeCell ref="D5:F7"/>
    <mergeCell ref="G5:I7"/>
    <mergeCell ref="J5:L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7"/>
  <sheetViews>
    <sheetView showGridLines="0" zoomScaleNormal="100" workbookViewId="0">
      <pane ySplit="3" topLeftCell="A4" activePane="bottomLeft" state="frozen"/>
      <selection pane="bottomLeft" sqref="A1:I1"/>
    </sheetView>
  </sheetViews>
  <sheetFormatPr baseColWidth="10" defaultColWidth="8.6640625" defaultRowHeight="15" x14ac:dyDescent="0.2"/>
  <cols>
    <col min="1" max="1" width="12" customWidth="1"/>
    <col min="2" max="3" width="14" customWidth="1"/>
    <col min="4" max="4" width="16" customWidth="1"/>
    <col min="5" max="5" width="14" customWidth="1"/>
    <col min="6" max="6" width="13" customWidth="1"/>
    <col min="7" max="7" width="18" customWidth="1"/>
    <col min="8" max="8" width="16" customWidth="1"/>
  </cols>
  <sheetData>
    <row r="1" spans="1:9" ht="37.5" customHeight="1" x14ac:dyDescent="0.2">
      <c r="A1" s="9" t="s">
        <v>34</v>
      </c>
      <c r="B1" s="9"/>
      <c r="C1" s="9"/>
      <c r="D1" s="9"/>
      <c r="E1" s="9"/>
      <c r="F1" s="9"/>
      <c r="G1" s="9"/>
      <c r="H1" s="9"/>
      <c r="I1" s="9"/>
    </row>
    <row r="2" spans="1:9" ht="18" customHeight="1" x14ac:dyDescent="0.2">
      <c r="A2" s="8" t="s">
        <v>35</v>
      </c>
      <c r="B2" s="8"/>
      <c r="C2" s="8"/>
      <c r="D2" s="8"/>
      <c r="E2" s="8"/>
      <c r="F2" s="8"/>
      <c r="G2" s="8"/>
      <c r="H2" s="8"/>
      <c r="I2" s="8"/>
    </row>
    <row r="3" spans="1:9" ht="27.75" customHeight="1" x14ac:dyDescent="0.2">
      <c r="A3" s="10" t="s">
        <v>36</v>
      </c>
      <c r="B3" s="10" t="s">
        <v>37</v>
      </c>
      <c r="C3" s="10" t="s">
        <v>38</v>
      </c>
      <c r="D3" s="10" t="s">
        <v>39</v>
      </c>
      <c r="E3" s="10" t="s">
        <v>40</v>
      </c>
      <c r="F3" s="10" t="s">
        <v>41</v>
      </c>
      <c r="G3" s="10" t="s">
        <v>42</v>
      </c>
      <c r="H3" s="10" t="s">
        <v>43</v>
      </c>
    </row>
    <row r="4" spans="1:9" ht="15.75" customHeight="1" x14ac:dyDescent="0.2">
      <c r="A4" s="12" t="s">
        <v>44</v>
      </c>
      <c r="B4" s="12">
        <v>42300</v>
      </c>
      <c r="C4" s="12">
        <v>38</v>
      </c>
      <c r="D4" s="12">
        <v>22</v>
      </c>
      <c r="E4" s="12" t="s">
        <v>45</v>
      </c>
      <c r="F4" s="12" t="s">
        <v>45</v>
      </c>
      <c r="G4" s="12">
        <f>ROUND(AVERAGE(B4:B4),0)</f>
        <v>42300</v>
      </c>
      <c r="H4" s="12">
        <f>SUM(B$4:B4)</f>
        <v>42300</v>
      </c>
    </row>
    <row r="5" spans="1:9" ht="15.75" customHeight="1" x14ac:dyDescent="0.2">
      <c r="A5" s="11" t="s">
        <v>46</v>
      </c>
      <c r="B5" s="11">
        <v>38900</v>
      </c>
      <c r="C5" s="11">
        <v>34</v>
      </c>
      <c r="D5" s="11">
        <v>19</v>
      </c>
      <c r="E5" s="11">
        <f t="shared" ref="E5:E27" si="0">B4</f>
        <v>42300</v>
      </c>
      <c r="F5" s="11" t="str">
        <f t="shared" ref="F5:F27" si="1">IFERROR(ROUND((B5-B4)/B4*100,1)&amp;"%","-")</f>
        <v>-8%</v>
      </c>
      <c r="G5" s="11">
        <f>ROUND(AVERAGE(B4:B5),0)</f>
        <v>40600</v>
      </c>
      <c r="H5" s="11">
        <f>SUM(B$4:B5)</f>
        <v>81200</v>
      </c>
    </row>
    <row r="6" spans="1:9" ht="15.75" customHeight="1" x14ac:dyDescent="0.2">
      <c r="A6" s="12" t="s">
        <v>47</v>
      </c>
      <c r="B6" s="12">
        <v>51200</v>
      </c>
      <c r="C6" s="12">
        <v>45</v>
      </c>
      <c r="D6" s="12">
        <v>27</v>
      </c>
      <c r="E6" s="12">
        <f t="shared" si="0"/>
        <v>38900</v>
      </c>
      <c r="F6" s="12" t="str">
        <f t="shared" si="1"/>
        <v>31.6%</v>
      </c>
      <c r="G6" s="12">
        <f t="shared" ref="G6:G27" si="2">ROUND(AVERAGE(B4:B6),0)</f>
        <v>44133</v>
      </c>
      <c r="H6" s="12">
        <f>SUM(B$4:B6)</f>
        <v>132400</v>
      </c>
    </row>
    <row r="7" spans="1:9" ht="15.75" customHeight="1" x14ac:dyDescent="0.2">
      <c r="A7" s="11" t="s">
        <v>48</v>
      </c>
      <c r="B7" s="11">
        <v>47800</v>
      </c>
      <c r="C7" s="11">
        <v>42</v>
      </c>
      <c r="D7" s="11">
        <v>25</v>
      </c>
      <c r="E7" s="11">
        <f t="shared" si="0"/>
        <v>51200</v>
      </c>
      <c r="F7" s="11" t="str">
        <f t="shared" si="1"/>
        <v>-6.6%</v>
      </c>
      <c r="G7" s="11">
        <f t="shared" si="2"/>
        <v>45967</v>
      </c>
      <c r="H7" s="11">
        <f>SUM(B$4:B7)</f>
        <v>180200</v>
      </c>
    </row>
    <row r="8" spans="1:9" ht="15.75" customHeight="1" x14ac:dyDescent="0.2">
      <c r="A8" s="12" t="s">
        <v>49</v>
      </c>
      <c r="B8" s="12">
        <v>53400</v>
      </c>
      <c r="C8" s="12">
        <v>47</v>
      </c>
      <c r="D8" s="12">
        <v>29</v>
      </c>
      <c r="E8" s="12">
        <f t="shared" si="0"/>
        <v>47800</v>
      </c>
      <c r="F8" s="12" t="str">
        <f t="shared" si="1"/>
        <v>11.7%</v>
      </c>
      <c r="G8" s="12">
        <f t="shared" si="2"/>
        <v>50800</v>
      </c>
      <c r="H8" s="12">
        <f>SUM(B$4:B8)</f>
        <v>233600</v>
      </c>
    </row>
    <row r="9" spans="1:9" ht="15.75" customHeight="1" x14ac:dyDescent="0.2">
      <c r="A9" s="11" t="s">
        <v>50</v>
      </c>
      <c r="B9" s="11">
        <v>61200</v>
      </c>
      <c r="C9" s="11">
        <v>54</v>
      </c>
      <c r="D9" s="11">
        <v>33</v>
      </c>
      <c r="E9" s="11">
        <f t="shared" si="0"/>
        <v>53400</v>
      </c>
      <c r="F9" s="11" t="str">
        <f t="shared" si="1"/>
        <v>14.6%</v>
      </c>
      <c r="G9" s="11">
        <f t="shared" si="2"/>
        <v>54133</v>
      </c>
      <c r="H9" s="11">
        <f>SUM(B$4:B9)</f>
        <v>294800</v>
      </c>
    </row>
    <row r="10" spans="1:9" ht="15.75" customHeight="1" x14ac:dyDescent="0.2">
      <c r="A10" s="12" t="s">
        <v>51</v>
      </c>
      <c r="B10" s="12">
        <v>58700</v>
      </c>
      <c r="C10" s="12">
        <v>52</v>
      </c>
      <c r="D10" s="12">
        <v>31</v>
      </c>
      <c r="E10" s="12">
        <f t="shared" si="0"/>
        <v>61200</v>
      </c>
      <c r="F10" s="12" t="str">
        <f t="shared" si="1"/>
        <v>-4.1%</v>
      </c>
      <c r="G10" s="12">
        <f t="shared" si="2"/>
        <v>57767</v>
      </c>
      <c r="H10" s="12">
        <f>SUM(B$4:B10)</f>
        <v>353500</v>
      </c>
    </row>
    <row r="11" spans="1:9" ht="15.75" customHeight="1" x14ac:dyDescent="0.2">
      <c r="A11" s="11" t="s">
        <v>52</v>
      </c>
      <c r="B11" s="11">
        <v>65400</v>
      </c>
      <c r="C11" s="11">
        <v>58</v>
      </c>
      <c r="D11" s="11">
        <v>36</v>
      </c>
      <c r="E11" s="11">
        <f t="shared" si="0"/>
        <v>58700</v>
      </c>
      <c r="F11" s="11" t="str">
        <f t="shared" si="1"/>
        <v>11.4%</v>
      </c>
      <c r="G11" s="11">
        <f t="shared" si="2"/>
        <v>61767</v>
      </c>
      <c r="H11" s="11">
        <f>SUM(B$4:B11)</f>
        <v>418900</v>
      </c>
    </row>
    <row r="12" spans="1:9" ht="15.75" customHeight="1" x14ac:dyDescent="0.2">
      <c r="A12" s="12" t="s">
        <v>53</v>
      </c>
      <c r="B12" s="12">
        <v>72100</v>
      </c>
      <c r="C12" s="12">
        <v>64</v>
      </c>
      <c r="D12" s="12">
        <v>40</v>
      </c>
      <c r="E12" s="12">
        <f t="shared" si="0"/>
        <v>65400</v>
      </c>
      <c r="F12" s="12" t="str">
        <f t="shared" si="1"/>
        <v>10.2%</v>
      </c>
      <c r="G12" s="12">
        <f t="shared" si="2"/>
        <v>65400</v>
      </c>
      <c r="H12" s="12">
        <f>SUM(B$4:B12)</f>
        <v>491000</v>
      </c>
    </row>
    <row r="13" spans="1:9" ht="15.75" customHeight="1" x14ac:dyDescent="0.2">
      <c r="A13" s="11" t="s">
        <v>54</v>
      </c>
      <c r="B13" s="11">
        <v>68900</v>
      </c>
      <c r="C13" s="11">
        <v>61</v>
      </c>
      <c r="D13" s="11">
        <v>38</v>
      </c>
      <c r="E13" s="11">
        <f t="shared" si="0"/>
        <v>72100</v>
      </c>
      <c r="F13" s="11" t="str">
        <f t="shared" si="1"/>
        <v>-4.4%</v>
      </c>
      <c r="G13" s="11">
        <f t="shared" si="2"/>
        <v>68800</v>
      </c>
      <c r="H13" s="11">
        <f>SUM(B$4:B13)</f>
        <v>559900</v>
      </c>
    </row>
    <row r="14" spans="1:9" ht="15.75" customHeight="1" x14ac:dyDescent="0.2">
      <c r="A14" s="12" t="s">
        <v>55</v>
      </c>
      <c r="B14" s="12">
        <v>74300</v>
      </c>
      <c r="C14" s="12">
        <v>66</v>
      </c>
      <c r="D14" s="12">
        <v>41</v>
      </c>
      <c r="E14" s="12">
        <f t="shared" si="0"/>
        <v>68900</v>
      </c>
      <c r="F14" s="12" t="str">
        <f t="shared" si="1"/>
        <v>7.8%</v>
      </c>
      <c r="G14" s="12">
        <f t="shared" si="2"/>
        <v>71767</v>
      </c>
      <c r="H14" s="12">
        <f>SUM(B$4:B14)</f>
        <v>634200</v>
      </c>
    </row>
    <row r="15" spans="1:9" ht="15.75" customHeight="1" x14ac:dyDescent="0.2">
      <c r="A15" s="11" t="s">
        <v>56</v>
      </c>
      <c r="B15" s="11">
        <v>82500</v>
      </c>
      <c r="C15" s="11">
        <v>73</v>
      </c>
      <c r="D15" s="11">
        <v>46</v>
      </c>
      <c r="E15" s="11">
        <f t="shared" si="0"/>
        <v>74300</v>
      </c>
      <c r="F15" s="11" t="str">
        <f t="shared" si="1"/>
        <v>11%</v>
      </c>
      <c r="G15" s="11">
        <f t="shared" si="2"/>
        <v>75233</v>
      </c>
      <c r="H15" s="11">
        <f>SUM(B$4:B15)</f>
        <v>716700</v>
      </c>
    </row>
    <row r="16" spans="1:9" ht="15.75" customHeight="1" x14ac:dyDescent="0.2">
      <c r="A16" s="12" t="s">
        <v>57</v>
      </c>
      <c r="B16" s="12">
        <v>79200</v>
      </c>
      <c r="C16" s="12">
        <v>70</v>
      </c>
      <c r="D16" s="12">
        <v>44</v>
      </c>
      <c r="E16" s="12">
        <f t="shared" si="0"/>
        <v>82500</v>
      </c>
      <c r="F16" s="12" t="str">
        <f t="shared" si="1"/>
        <v>-4%</v>
      </c>
      <c r="G16" s="12">
        <f t="shared" si="2"/>
        <v>78667</v>
      </c>
      <c r="H16" s="12">
        <f>SUM(B$4:B16)</f>
        <v>795900</v>
      </c>
    </row>
    <row r="17" spans="1:8" ht="15.75" customHeight="1" x14ac:dyDescent="0.2">
      <c r="A17" s="11" t="s">
        <v>58</v>
      </c>
      <c r="B17" s="11">
        <v>85600</v>
      </c>
      <c r="C17" s="11">
        <v>76</v>
      </c>
      <c r="D17" s="11">
        <v>48</v>
      </c>
      <c r="E17" s="11">
        <f t="shared" si="0"/>
        <v>79200</v>
      </c>
      <c r="F17" s="11" t="str">
        <f t="shared" si="1"/>
        <v>8.1%</v>
      </c>
      <c r="G17" s="11">
        <f t="shared" si="2"/>
        <v>82433</v>
      </c>
      <c r="H17" s="11">
        <f>SUM(B$4:B17)</f>
        <v>881500</v>
      </c>
    </row>
    <row r="18" spans="1:8" ht="15.75" customHeight="1" x14ac:dyDescent="0.2">
      <c r="A18" s="12" t="s">
        <v>59</v>
      </c>
      <c r="B18" s="12">
        <v>91300</v>
      </c>
      <c r="C18" s="12">
        <v>81</v>
      </c>
      <c r="D18" s="12">
        <v>51</v>
      </c>
      <c r="E18" s="12">
        <f t="shared" si="0"/>
        <v>85600</v>
      </c>
      <c r="F18" s="12" t="str">
        <f t="shared" si="1"/>
        <v>6.7%</v>
      </c>
      <c r="G18" s="12">
        <f t="shared" si="2"/>
        <v>85367</v>
      </c>
      <c r="H18" s="12">
        <f>SUM(B$4:B18)</f>
        <v>972800</v>
      </c>
    </row>
    <row r="19" spans="1:8" ht="15.75" customHeight="1" x14ac:dyDescent="0.2">
      <c r="A19" s="11" t="s">
        <v>60</v>
      </c>
      <c r="B19" s="11">
        <v>88700</v>
      </c>
      <c r="C19" s="11">
        <v>79</v>
      </c>
      <c r="D19" s="11">
        <v>50</v>
      </c>
      <c r="E19" s="11">
        <f t="shared" si="0"/>
        <v>91300</v>
      </c>
      <c r="F19" s="11" t="str">
        <f t="shared" si="1"/>
        <v>-2.8%</v>
      </c>
      <c r="G19" s="11">
        <f t="shared" si="2"/>
        <v>88533</v>
      </c>
      <c r="H19" s="11">
        <f>SUM(B$4:B19)</f>
        <v>1061500</v>
      </c>
    </row>
    <row r="20" spans="1:8" ht="15.75" customHeight="1" x14ac:dyDescent="0.2">
      <c r="A20" s="12" t="s">
        <v>61</v>
      </c>
      <c r="B20" s="12">
        <v>96400</v>
      </c>
      <c r="C20" s="12">
        <v>86</v>
      </c>
      <c r="D20" s="12">
        <v>55</v>
      </c>
      <c r="E20" s="12">
        <f t="shared" si="0"/>
        <v>88700</v>
      </c>
      <c r="F20" s="12" t="str">
        <f t="shared" si="1"/>
        <v>8.7%</v>
      </c>
      <c r="G20" s="12">
        <f t="shared" si="2"/>
        <v>92133</v>
      </c>
      <c r="H20" s="12">
        <f>SUM(B$4:B20)</f>
        <v>1157900</v>
      </c>
    </row>
    <row r="21" spans="1:8" ht="15.75" customHeight="1" x14ac:dyDescent="0.2">
      <c r="A21" s="11" t="s">
        <v>62</v>
      </c>
      <c r="B21" s="11">
        <v>103200</v>
      </c>
      <c r="C21" s="11">
        <v>92</v>
      </c>
      <c r="D21" s="11">
        <v>59</v>
      </c>
      <c r="E21" s="11">
        <f t="shared" si="0"/>
        <v>96400</v>
      </c>
      <c r="F21" s="11" t="str">
        <f t="shared" si="1"/>
        <v>7.1%</v>
      </c>
      <c r="G21" s="11">
        <f t="shared" si="2"/>
        <v>96100</v>
      </c>
      <c r="H21" s="11">
        <f>SUM(B$4:B21)</f>
        <v>1261100</v>
      </c>
    </row>
    <row r="22" spans="1:8" ht="15.75" customHeight="1" x14ac:dyDescent="0.2">
      <c r="A22" s="12" t="s">
        <v>63</v>
      </c>
      <c r="B22" s="12">
        <v>98700</v>
      </c>
      <c r="C22" s="12">
        <v>88</v>
      </c>
      <c r="D22" s="12">
        <v>57</v>
      </c>
      <c r="E22" s="12">
        <f t="shared" si="0"/>
        <v>103200</v>
      </c>
      <c r="F22" s="12" t="str">
        <f t="shared" si="1"/>
        <v>-4.4%</v>
      </c>
      <c r="G22" s="12">
        <f t="shared" si="2"/>
        <v>99433</v>
      </c>
      <c r="H22" s="12">
        <f>SUM(B$4:B22)</f>
        <v>1359800</v>
      </c>
    </row>
    <row r="23" spans="1:8" ht="15.75" customHeight="1" x14ac:dyDescent="0.2">
      <c r="A23" s="11" t="s">
        <v>64</v>
      </c>
      <c r="B23" s="11">
        <v>107400</v>
      </c>
      <c r="C23" s="11">
        <v>96</v>
      </c>
      <c r="D23" s="11">
        <v>62</v>
      </c>
      <c r="E23" s="11">
        <f t="shared" si="0"/>
        <v>98700</v>
      </c>
      <c r="F23" s="11" t="str">
        <f t="shared" si="1"/>
        <v>8.8%</v>
      </c>
      <c r="G23" s="11">
        <f t="shared" si="2"/>
        <v>103100</v>
      </c>
      <c r="H23" s="11">
        <f>SUM(B$4:B23)</f>
        <v>1467200</v>
      </c>
    </row>
    <row r="24" spans="1:8" ht="15.75" customHeight="1" x14ac:dyDescent="0.2">
      <c r="A24" s="12" t="s">
        <v>65</v>
      </c>
      <c r="B24" s="12">
        <v>115600</v>
      </c>
      <c r="C24" s="12">
        <v>103</v>
      </c>
      <c r="D24" s="12">
        <v>67</v>
      </c>
      <c r="E24" s="12">
        <f t="shared" si="0"/>
        <v>107400</v>
      </c>
      <c r="F24" s="12" t="str">
        <f t="shared" si="1"/>
        <v>7.6%</v>
      </c>
      <c r="G24" s="12">
        <f t="shared" si="2"/>
        <v>107233</v>
      </c>
      <c r="H24" s="12">
        <f>SUM(B$4:B24)</f>
        <v>1582800</v>
      </c>
    </row>
    <row r="25" spans="1:8" ht="15.75" customHeight="1" x14ac:dyDescent="0.2">
      <c r="A25" s="11" t="s">
        <v>66</v>
      </c>
      <c r="B25" s="11">
        <v>112300</v>
      </c>
      <c r="C25" s="11">
        <v>100</v>
      </c>
      <c r="D25" s="11">
        <v>65</v>
      </c>
      <c r="E25" s="11">
        <f t="shared" si="0"/>
        <v>115600</v>
      </c>
      <c r="F25" s="11" t="str">
        <f t="shared" si="1"/>
        <v>-2.9%</v>
      </c>
      <c r="G25" s="11">
        <f t="shared" si="2"/>
        <v>111767</v>
      </c>
      <c r="H25" s="11">
        <f>SUM(B$4:B25)</f>
        <v>1695100</v>
      </c>
    </row>
    <row r="26" spans="1:8" ht="15.75" customHeight="1" x14ac:dyDescent="0.2">
      <c r="A26" s="12" t="s">
        <v>67</v>
      </c>
      <c r="B26" s="12">
        <v>121800</v>
      </c>
      <c r="C26" s="12">
        <v>109</v>
      </c>
      <c r="D26" s="12">
        <v>71</v>
      </c>
      <c r="E26" s="12">
        <f t="shared" si="0"/>
        <v>112300</v>
      </c>
      <c r="F26" s="12" t="str">
        <f t="shared" si="1"/>
        <v>8.5%</v>
      </c>
      <c r="G26" s="12">
        <f t="shared" si="2"/>
        <v>116567</v>
      </c>
      <c r="H26" s="12">
        <f>SUM(B$4:B26)</f>
        <v>1816900</v>
      </c>
    </row>
    <row r="27" spans="1:8" ht="15.75" customHeight="1" x14ac:dyDescent="0.2">
      <c r="A27" s="11" t="s">
        <v>68</v>
      </c>
      <c r="B27" s="11">
        <v>131400</v>
      </c>
      <c r="C27" s="11">
        <v>117</v>
      </c>
      <c r="D27" s="11">
        <v>77</v>
      </c>
      <c r="E27" s="11">
        <f t="shared" si="0"/>
        <v>121800</v>
      </c>
      <c r="F27" s="11" t="str">
        <f t="shared" si="1"/>
        <v>7.9%</v>
      </c>
      <c r="G27" s="11">
        <f t="shared" si="2"/>
        <v>121833</v>
      </c>
      <c r="H27" s="11">
        <f>SUM(B$4:B27)</f>
        <v>1948300</v>
      </c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"/>
  <sheetViews>
    <sheetView showGridLines="0" zoomScaleNormal="100" workbookViewId="0">
      <pane ySplit="3" topLeftCell="A4" activePane="bottomLeft" state="frozen"/>
      <selection pane="bottomLeft" sqref="A1:H1"/>
    </sheetView>
  </sheetViews>
  <sheetFormatPr baseColWidth="10" defaultColWidth="8.6640625" defaultRowHeight="15" x14ac:dyDescent="0.2"/>
  <cols>
    <col min="1" max="1" width="12" customWidth="1"/>
    <col min="2" max="2" width="8" customWidth="1"/>
    <col min="3" max="3" width="12" customWidth="1"/>
    <col min="4" max="6" width="16" customWidth="1"/>
    <col min="7" max="7" width="14" customWidth="1"/>
    <col min="8" max="8" width="12" customWidth="1"/>
    <col min="9" max="9" width="2" customWidth="1"/>
    <col min="10" max="10" width="12" customWidth="1"/>
    <col min="11" max="11" width="10" customWidth="1"/>
  </cols>
  <sheetData>
    <row r="1" spans="1:11" ht="37.5" customHeight="1" x14ac:dyDescent="0.2">
      <c r="A1" s="9" t="s">
        <v>69</v>
      </c>
      <c r="B1" s="9"/>
      <c r="C1" s="9"/>
      <c r="D1" s="9"/>
      <c r="E1" s="9"/>
      <c r="F1" s="9"/>
      <c r="G1" s="9"/>
      <c r="H1" s="9"/>
    </row>
    <row r="2" spans="1:11" ht="18" customHeight="1" x14ac:dyDescent="0.2">
      <c r="A2" s="8" t="s">
        <v>70</v>
      </c>
      <c r="B2" s="8"/>
      <c r="C2" s="8"/>
      <c r="D2" s="8"/>
      <c r="E2" s="8"/>
      <c r="F2" s="8"/>
      <c r="G2" s="8"/>
      <c r="H2" s="8"/>
    </row>
    <row r="3" spans="1:11" ht="27.75" customHeight="1" x14ac:dyDescent="0.2">
      <c r="A3" s="10" t="s">
        <v>3</v>
      </c>
      <c r="B3" s="10" t="s">
        <v>71</v>
      </c>
      <c r="C3" s="10" t="s">
        <v>4</v>
      </c>
      <c r="D3" s="10" t="s">
        <v>72</v>
      </c>
      <c r="E3" s="10" t="s">
        <v>73</v>
      </c>
      <c r="F3" s="10" t="s">
        <v>74</v>
      </c>
      <c r="G3" s="10" t="s">
        <v>75</v>
      </c>
      <c r="H3" s="10" t="s">
        <v>76</v>
      </c>
      <c r="J3" s="13" t="s">
        <v>3</v>
      </c>
      <c r="K3" s="13" t="s">
        <v>4</v>
      </c>
    </row>
    <row r="4" spans="1:11" ht="15.75" customHeight="1" x14ac:dyDescent="0.2">
      <c r="A4" s="14" t="s">
        <v>10</v>
      </c>
      <c r="B4" s="14" t="s">
        <v>77</v>
      </c>
      <c r="C4" s="14">
        <v>8</v>
      </c>
      <c r="D4" s="14">
        <v>165000</v>
      </c>
      <c r="E4" s="14">
        <v>124300</v>
      </c>
      <c r="F4" s="14">
        <v>994400</v>
      </c>
      <c r="G4" s="14">
        <v>312000</v>
      </c>
      <c r="H4" s="14">
        <v>1890</v>
      </c>
      <c r="J4" s="12" t="s">
        <v>10</v>
      </c>
      <c r="K4" s="12">
        <v>28</v>
      </c>
    </row>
    <row r="5" spans="1:11" ht="15.75" customHeight="1" x14ac:dyDescent="0.2">
      <c r="A5" s="14" t="s">
        <v>10</v>
      </c>
      <c r="B5" s="14" t="s">
        <v>78</v>
      </c>
      <c r="C5" s="14">
        <v>10</v>
      </c>
      <c r="D5" s="14">
        <v>148000</v>
      </c>
      <c r="E5" s="14">
        <v>118200</v>
      </c>
      <c r="F5" s="14">
        <v>1182000</v>
      </c>
      <c r="G5" s="14">
        <v>287000</v>
      </c>
      <c r="H5" s="14">
        <v>1740</v>
      </c>
      <c r="J5" s="11" t="s">
        <v>15</v>
      </c>
      <c r="K5" s="11">
        <v>51</v>
      </c>
    </row>
    <row r="6" spans="1:11" ht="15.75" customHeight="1" x14ac:dyDescent="0.2">
      <c r="A6" s="14" t="s">
        <v>10</v>
      </c>
      <c r="B6" s="14" t="s">
        <v>79</v>
      </c>
      <c r="C6" s="14">
        <v>5</v>
      </c>
      <c r="D6" s="14">
        <v>158000</v>
      </c>
      <c r="E6" s="14">
        <v>115800</v>
      </c>
      <c r="F6" s="14">
        <v>579000</v>
      </c>
      <c r="G6" s="14">
        <v>198000</v>
      </c>
      <c r="H6" s="14">
        <v>1650</v>
      </c>
      <c r="J6" s="12" t="s">
        <v>20</v>
      </c>
      <c r="K6" s="12">
        <v>21</v>
      </c>
    </row>
    <row r="7" spans="1:11" ht="15.75" customHeight="1" x14ac:dyDescent="0.2">
      <c r="A7" s="14" t="s">
        <v>10</v>
      </c>
      <c r="B7" s="14" t="s">
        <v>80</v>
      </c>
      <c r="C7" s="14">
        <v>3</v>
      </c>
      <c r="D7" s="14">
        <v>161000</v>
      </c>
      <c r="E7" s="14">
        <v>121000</v>
      </c>
      <c r="F7" s="14">
        <v>363000</v>
      </c>
      <c r="G7" s="14">
        <v>142000</v>
      </c>
      <c r="H7" s="14">
        <v>1810</v>
      </c>
    </row>
    <row r="8" spans="1:11" ht="15.75" customHeight="1" x14ac:dyDescent="0.2">
      <c r="A8" s="14" t="s">
        <v>10</v>
      </c>
      <c r="B8" s="14" t="s">
        <v>81</v>
      </c>
      <c r="C8" s="14">
        <v>2</v>
      </c>
      <c r="D8" s="14">
        <v>142000</v>
      </c>
      <c r="E8" s="14">
        <v>109000</v>
      </c>
      <c r="F8" s="14">
        <v>218000</v>
      </c>
      <c r="G8" s="14">
        <v>98000</v>
      </c>
      <c r="H8" s="14">
        <v>1720</v>
      </c>
    </row>
    <row r="9" spans="1:11" ht="15.75" customHeight="1" x14ac:dyDescent="0.2">
      <c r="A9" s="15" t="s">
        <v>15</v>
      </c>
      <c r="B9" s="15" t="s">
        <v>77</v>
      </c>
      <c r="C9" s="15">
        <v>9</v>
      </c>
      <c r="D9" s="15">
        <v>76000</v>
      </c>
      <c r="E9" s="15">
        <v>14200</v>
      </c>
      <c r="F9" s="15">
        <v>127800</v>
      </c>
      <c r="G9" s="15">
        <v>89000</v>
      </c>
      <c r="H9" s="15">
        <v>820</v>
      </c>
    </row>
    <row r="10" spans="1:11" ht="15.75" customHeight="1" x14ac:dyDescent="0.2">
      <c r="A10" s="15" t="s">
        <v>15</v>
      </c>
      <c r="B10" s="15" t="s">
        <v>78</v>
      </c>
      <c r="C10" s="15">
        <v>12</v>
      </c>
      <c r="D10" s="15">
        <v>74000</v>
      </c>
      <c r="E10" s="15">
        <v>15100</v>
      </c>
      <c r="F10" s="15">
        <v>181200</v>
      </c>
      <c r="G10" s="15">
        <v>112000</v>
      </c>
      <c r="H10" s="15">
        <v>790</v>
      </c>
    </row>
    <row r="11" spans="1:11" ht="15.75" customHeight="1" x14ac:dyDescent="0.2">
      <c r="A11" s="15" t="s">
        <v>15</v>
      </c>
      <c r="B11" s="15" t="s">
        <v>82</v>
      </c>
      <c r="C11" s="15">
        <v>8</v>
      </c>
      <c r="D11" s="15">
        <v>72000</v>
      </c>
      <c r="E11" s="15">
        <v>13800</v>
      </c>
      <c r="F11" s="15">
        <v>110400</v>
      </c>
      <c r="G11" s="15">
        <v>76000</v>
      </c>
      <c r="H11" s="15">
        <v>810</v>
      </c>
    </row>
    <row r="12" spans="1:11" ht="15.75" customHeight="1" x14ac:dyDescent="0.2">
      <c r="A12" s="15" t="s">
        <v>15</v>
      </c>
      <c r="B12" s="15" t="s">
        <v>79</v>
      </c>
      <c r="C12" s="15">
        <v>9</v>
      </c>
      <c r="D12" s="15">
        <v>71000</v>
      </c>
      <c r="E12" s="15">
        <v>14600</v>
      </c>
      <c r="F12" s="15">
        <v>131400</v>
      </c>
      <c r="G12" s="15">
        <v>82000</v>
      </c>
      <c r="H12" s="15">
        <v>830</v>
      </c>
    </row>
    <row r="13" spans="1:11" ht="15.75" customHeight="1" x14ac:dyDescent="0.2">
      <c r="A13" s="15" t="s">
        <v>15</v>
      </c>
      <c r="B13" s="15" t="s">
        <v>83</v>
      </c>
      <c r="C13" s="15">
        <v>7</v>
      </c>
      <c r="D13" s="15">
        <v>69000</v>
      </c>
      <c r="E13" s="15">
        <v>13200</v>
      </c>
      <c r="F13" s="15">
        <v>92400</v>
      </c>
      <c r="G13" s="15">
        <v>58000</v>
      </c>
      <c r="H13" s="15">
        <v>780</v>
      </c>
    </row>
    <row r="14" spans="1:11" ht="15.75" customHeight="1" x14ac:dyDescent="0.2">
      <c r="A14" s="15" t="s">
        <v>15</v>
      </c>
      <c r="B14" s="15" t="s">
        <v>80</v>
      </c>
      <c r="C14" s="15">
        <v>6</v>
      </c>
      <c r="D14" s="15">
        <v>74000</v>
      </c>
      <c r="E14" s="15">
        <v>15400</v>
      </c>
      <c r="F14" s="15">
        <v>92400</v>
      </c>
      <c r="G14" s="15">
        <v>61000</v>
      </c>
      <c r="H14" s="15">
        <v>800</v>
      </c>
    </row>
    <row r="15" spans="1:11" ht="15.75" customHeight="1" x14ac:dyDescent="0.2">
      <c r="A15" s="16" t="s">
        <v>20</v>
      </c>
      <c r="B15" s="16" t="s">
        <v>84</v>
      </c>
      <c r="C15" s="16">
        <v>5</v>
      </c>
      <c r="D15" s="16">
        <v>38000</v>
      </c>
      <c r="E15" s="16">
        <v>2800</v>
      </c>
      <c r="F15" s="16">
        <v>14000</v>
      </c>
      <c r="G15" s="16">
        <v>22000</v>
      </c>
      <c r="H15" s="16">
        <v>420</v>
      </c>
    </row>
    <row r="16" spans="1:11" ht="15.75" customHeight="1" x14ac:dyDescent="0.2">
      <c r="A16" s="16" t="s">
        <v>20</v>
      </c>
      <c r="B16" s="16" t="s">
        <v>78</v>
      </c>
      <c r="C16" s="16">
        <v>6</v>
      </c>
      <c r="D16" s="16">
        <v>34000</v>
      </c>
      <c r="E16" s="16">
        <v>3100</v>
      </c>
      <c r="F16" s="16">
        <v>18600</v>
      </c>
      <c r="G16" s="16">
        <v>28000</v>
      </c>
      <c r="H16" s="16">
        <v>390</v>
      </c>
    </row>
    <row r="17" spans="1:8" ht="15.75" customHeight="1" x14ac:dyDescent="0.2">
      <c r="A17" s="16" t="s">
        <v>20</v>
      </c>
      <c r="B17" s="16" t="s">
        <v>77</v>
      </c>
      <c r="C17" s="16">
        <v>4</v>
      </c>
      <c r="D17" s="16">
        <v>32000</v>
      </c>
      <c r="E17" s="16">
        <v>2950</v>
      </c>
      <c r="F17" s="16">
        <v>11800</v>
      </c>
      <c r="G17" s="16">
        <v>18000</v>
      </c>
      <c r="H17" s="16">
        <v>410</v>
      </c>
    </row>
    <row r="18" spans="1:8" ht="15.75" customHeight="1" x14ac:dyDescent="0.2">
      <c r="A18" s="16" t="s">
        <v>20</v>
      </c>
      <c r="B18" s="16" t="s">
        <v>81</v>
      </c>
      <c r="C18" s="16">
        <v>3</v>
      </c>
      <c r="D18" s="16">
        <v>30000</v>
      </c>
      <c r="E18" s="16">
        <v>2700</v>
      </c>
      <c r="F18" s="16">
        <v>8100</v>
      </c>
      <c r="G18" s="16">
        <v>14000</v>
      </c>
      <c r="H18" s="16">
        <v>380</v>
      </c>
    </row>
    <row r="19" spans="1:8" ht="15.75" customHeight="1" x14ac:dyDescent="0.2">
      <c r="A19" s="16" t="s">
        <v>20</v>
      </c>
      <c r="B19" s="16" t="s">
        <v>79</v>
      </c>
      <c r="C19" s="16">
        <v>3</v>
      </c>
      <c r="D19" s="16">
        <v>29000</v>
      </c>
      <c r="E19" s="16">
        <v>3400</v>
      </c>
      <c r="F19" s="16">
        <v>10200</v>
      </c>
      <c r="G19" s="16">
        <v>16000</v>
      </c>
      <c r="H19" s="16">
        <v>430</v>
      </c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1"/>
  <sheetViews>
    <sheetView showGridLines="0" zoomScaleNormal="100" workbookViewId="0">
      <pane ySplit="7" topLeftCell="A8" activePane="bottomLeft" state="frozen"/>
      <selection pane="bottomLeft" sqref="A1:J1"/>
    </sheetView>
  </sheetViews>
  <sheetFormatPr baseColWidth="10" defaultColWidth="8.6640625" defaultRowHeight="15" x14ac:dyDescent="0.2"/>
  <cols>
    <col min="1" max="1" width="6" customWidth="1"/>
    <col min="2" max="2" width="20" customWidth="1"/>
    <col min="3" max="3" width="28" customWidth="1"/>
    <col min="4" max="4" width="11" customWidth="1"/>
    <col min="5" max="5" width="14" customWidth="1"/>
    <col min="6" max="6" width="6" customWidth="1"/>
    <col min="7" max="7" width="16" customWidth="1"/>
    <col min="8" max="9" width="14" customWidth="1"/>
    <col min="10" max="10" width="13" customWidth="1"/>
  </cols>
  <sheetData>
    <row r="1" spans="1:10" ht="37.5" customHeight="1" x14ac:dyDescent="0.2">
      <c r="A1" s="9" t="s">
        <v>85</v>
      </c>
      <c r="B1" s="9"/>
      <c r="C1" s="9"/>
      <c r="D1" s="9"/>
      <c r="E1" s="9"/>
      <c r="F1" s="9"/>
      <c r="G1" s="9"/>
      <c r="H1" s="9"/>
      <c r="I1" s="9"/>
      <c r="J1" s="9"/>
    </row>
    <row r="2" spans="1:10" ht="18" customHeight="1" x14ac:dyDescent="0.2">
      <c r="A2" s="8" t="s">
        <v>86</v>
      </c>
      <c r="B2" s="8"/>
      <c r="C2" s="8"/>
      <c r="D2" s="8"/>
      <c r="E2" s="8"/>
      <c r="F2" s="8"/>
      <c r="G2" s="8"/>
      <c r="H2" s="8"/>
      <c r="I2" s="8"/>
      <c r="J2" s="8"/>
    </row>
    <row r="4" spans="1:10" ht="24" customHeight="1" x14ac:dyDescent="0.2">
      <c r="A4" s="3" t="s">
        <v>87</v>
      </c>
      <c r="B4" s="3"/>
      <c r="C4" s="3"/>
      <c r="D4" s="2" t="s">
        <v>88</v>
      </c>
      <c r="E4" s="2"/>
      <c r="F4" s="2"/>
      <c r="G4" s="1" t="s">
        <v>89</v>
      </c>
      <c r="H4" s="1"/>
      <c r="I4" s="1"/>
    </row>
    <row r="5" spans="1:10" ht="24" customHeight="1" x14ac:dyDescent="0.2">
      <c r="A5" s="3"/>
      <c r="B5" s="3"/>
      <c r="C5" s="3"/>
      <c r="D5" s="2"/>
      <c r="E5" s="2"/>
      <c r="F5" s="2"/>
      <c r="G5" s="1"/>
      <c r="H5" s="1"/>
      <c r="I5" s="1"/>
    </row>
    <row r="7" spans="1:10" ht="27.75" customHeight="1" x14ac:dyDescent="0.2">
      <c r="A7" s="10" t="s">
        <v>90</v>
      </c>
      <c r="B7" s="10" t="s">
        <v>91</v>
      </c>
      <c r="C7" s="10" t="s">
        <v>92</v>
      </c>
      <c r="D7" s="10" t="s">
        <v>3</v>
      </c>
      <c r="E7" s="10" t="s">
        <v>93</v>
      </c>
      <c r="F7" s="10" t="s">
        <v>71</v>
      </c>
      <c r="G7" s="10" t="s">
        <v>94</v>
      </c>
      <c r="H7" s="10" t="s">
        <v>95</v>
      </c>
      <c r="I7" s="10" t="s">
        <v>96</v>
      </c>
      <c r="J7" s="10" t="s">
        <v>97</v>
      </c>
    </row>
    <row r="8" spans="1:10" ht="15.75" customHeight="1" x14ac:dyDescent="0.2">
      <c r="A8" s="17">
        <v>13</v>
      </c>
      <c r="B8" s="17" t="s">
        <v>98</v>
      </c>
      <c r="C8" s="17" t="s">
        <v>99</v>
      </c>
      <c r="D8" s="17" t="s">
        <v>20</v>
      </c>
      <c r="E8" s="17" t="s">
        <v>100</v>
      </c>
      <c r="F8" s="17" t="s">
        <v>84</v>
      </c>
      <c r="G8" s="17" t="s">
        <v>101</v>
      </c>
      <c r="H8" s="17">
        <v>2105</v>
      </c>
      <c r="I8" s="17">
        <v>890</v>
      </c>
      <c r="J8" s="18" t="s">
        <v>102</v>
      </c>
    </row>
    <row r="9" spans="1:10" ht="15.75" customHeight="1" x14ac:dyDescent="0.2">
      <c r="A9" s="17">
        <v>20</v>
      </c>
      <c r="B9" s="17" t="s">
        <v>103</v>
      </c>
      <c r="C9" s="17" t="s">
        <v>104</v>
      </c>
      <c r="D9" s="17" t="s">
        <v>20</v>
      </c>
      <c r="E9" s="17" t="s">
        <v>105</v>
      </c>
      <c r="F9" s="17" t="s">
        <v>77</v>
      </c>
      <c r="G9" s="17" t="s">
        <v>106</v>
      </c>
      <c r="H9" s="17">
        <v>1996</v>
      </c>
      <c r="I9" s="17">
        <v>650</v>
      </c>
      <c r="J9" s="18" t="s">
        <v>102</v>
      </c>
    </row>
    <row r="10" spans="1:10" ht="15.75" customHeight="1" x14ac:dyDescent="0.2">
      <c r="A10" s="17">
        <v>34</v>
      </c>
      <c r="B10" s="17" t="s">
        <v>107</v>
      </c>
      <c r="C10" s="17" t="s">
        <v>108</v>
      </c>
      <c r="D10" s="17" t="s">
        <v>15</v>
      </c>
      <c r="E10" s="17" t="s">
        <v>109</v>
      </c>
      <c r="F10" s="17" t="s">
        <v>80</v>
      </c>
      <c r="G10" s="17" t="s">
        <v>110</v>
      </c>
      <c r="H10" s="17">
        <v>1897</v>
      </c>
      <c r="I10" s="17">
        <v>920</v>
      </c>
      <c r="J10" s="18" t="s">
        <v>102</v>
      </c>
    </row>
    <row r="11" spans="1:10" ht="15.75" customHeight="1" x14ac:dyDescent="0.2">
      <c r="A11" s="17">
        <v>40</v>
      </c>
      <c r="B11" s="17" t="s">
        <v>111</v>
      </c>
      <c r="C11" s="17" t="s">
        <v>112</v>
      </c>
      <c r="D11" s="17" t="s">
        <v>20</v>
      </c>
      <c r="E11" s="17" t="s">
        <v>113</v>
      </c>
      <c r="F11" s="17" t="s">
        <v>78</v>
      </c>
      <c r="G11" s="17" t="s">
        <v>114</v>
      </c>
      <c r="H11" s="17">
        <v>1826</v>
      </c>
      <c r="I11" s="17">
        <v>510</v>
      </c>
      <c r="J11" s="18" t="s">
        <v>102</v>
      </c>
    </row>
    <row r="12" spans="1:10" ht="15.75" customHeight="1" x14ac:dyDescent="0.2">
      <c r="A12" s="17">
        <v>22</v>
      </c>
      <c r="B12" s="17" t="s">
        <v>115</v>
      </c>
      <c r="C12" s="17" t="s">
        <v>116</v>
      </c>
      <c r="D12" s="17" t="s">
        <v>20</v>
      </c>
      <c r="E12" s="17" t="s">
        <v>113</v>
      </c>
      <c r="F12" s="17" t="s">
        <v>78</v>
      </c>
      <c r="G12" s="17" t="s">
        <v>117</v>
      </c>
      <c r="H12" s="17">
        <v>1715</v>
      </c>
      <c r="I12" s="17">
        <v>420</v>
      </c>
      <c r="J12" s="18" t="s">
        <v>102</v>
      </c>
    </row>
    <row r="13" spans="1:10" ht="15.75" customHeight="1" x14ac:dyDescent="0.2">
      <c r="A13" s="17">
        <v>36</v>
      </c>
      <c r="B13" s="17" t="s">
        <v>118</v>
      </c>
      <c r="C13" s="17" t="s">
        <v>119</v>
      </c>
      <c r="D13" s="17" t="s">
        <v>20</v>
      </c>
      <c r="E13" s="17" t="s">
        <v>120</v>
      </c>
      <c r="F13" s="17" t="s">
        <v>81</v>
      </c>
      <c r="G13" s="17" t="s">
        <v>121</v>
      </c>
      <c r="H13" s="17">
        <v>1646</v>
      </c>
      <c r="I13" s="17">
        <v>340</v>
      </c>
      <c r="J13" s="18" t="s">
        <v>102</v>
      </c>
    </row>
    <row r="14" spans="1:10" ht="15.75" customHeight="1" x14ac:dyDescent="0.2">
      <c r="A14" s="17">
        <v>48</v>
      </c>
      <c r="B14" s="17" t="s">
        <v>122</v>
      </c>
      <c r="C14" s="17" t="s">
        <v>123</v>
      </c>
      <c r="D14" s="17" t="s">
        <v>20</v>
      </c>
      <c r="E14" s="17" t="s">
        <v>124</v>
      </c>
      <c r="F14" s="17" t="s">
        <v>83</v>
      </c>
      <c r="G14" s="17" t="s">
        <v>125</v>
      </c>
      <c r="H14" s="17">
        <v>1568</v>
      </c>
      <c r="I14" s="17">
        <v>280</v>
      </c>
      <c r="J14" s="18" t="s">
        <v>102</v>
      </c>
    </row>
    <row r="15" spans="1:10" ht="15.75" customHeight="1" x14ac:dyDescent="0.2">
      <c r="A15" s="17">
        <v>62</v>
      </c>
      <c r="B15" s="17" t="s">
        <v>126</v>
      </c>
      <c r="C15" s="17" t="s">
        <v>127</v>
      </c>
      <c r="D15" s="17" t="s">
        <v>20</v>
      </c>
      <c r="E15" s="17" t="s">
        <v>128</v>
      </c>
      <c r="F15" s="17" t="s">
        <v>82</v>
      </c>
      <c r="G15" s="17" t="s">
        <v>129</v>
      </c>
      <c r="H15" s="17">
        <v>1492</v>
      </c>
      <c r="I15" s="17">
        <v>360</v>
      </c>
      <c r="J15" s="18" t="s">
        <v>102</v>
      </c>
    </row>
    <row r="16" spans="1:10" ht="15.75" customHeight="1" x14ac:dyDescent="0.2">
      <c r="A16" s="19">
        <v>7</v>
      </c>
      <c r="B16" s="19" t="s">
        <v>130</v>
      </c>
      <c r="C16" s="19" t="s">
        <v>131</v>
      </c>
      <c r="D16" s="19" t="s">
        <v>15</v>
      </c>
      <c r="E16" s="19" t="s">
        <v>128</v>
      </c>
      <c r="F16" s="19" t="s">
        <v>82</v>
      </c>
      <c r="G16" s="19" t="s">
        <v>132</v>
      </c>
      <c r="H16" s="19">
        <v>866</v>
      </c>
      <c r="I16" s="19">
        <v>5640</v>
      </c>
      <c r="J16" s="20" t="s">
        <v>133</v>
      </c>
    </row>
    <row r="17" spans="1:10" ht="15.75" customHeight="1" x14ac:dyDescent="0.2">
      <c r="A17" s="19">
        <v>10</v>
      </c>
      <c r="B17" s="19" t="s">
        <v>134</v>
      </c>
      <c r="C17" s="19" t="s">
        <v>135</v>
      </c>
      <c r="D17" s="19" t="s">
        <v>15</v>
      </c>
      <c r="E17" s="19" t="s">
        <v>136</v>
      </c>
      <c r="F17" s="19" t="s">
        <v>79</v>
      </c>
      <c r="G17" s="19" t="s">
        <v>137</v>
      </c>
      <c r="H17" s="19">
        <v>826</v>
      </c>
      <c r="I17" s="19">
        <v>2150</v>
      </c>
      <c r="J17" s="20" t="s">
        <v>133</v>
      </c>
    </row>
    <row r="18" spans="1:10" ht="15.75" customHeight="1" x14ac:dyDescent="0.2">
      <c r="A18" s="19">
        <v>14</v>
      </c>
      <c r="B18" s="19" t="s">
        <v>138</v>
      </c>
      <c r="C18" s="19" t="s">
        <v>139</v>
      </c>
      <c r="D18" s="19" t="s">
        <v>15</v>
      </c>
      <c r="E18" s="19" t="s">
        <v>100</v>
      </c>
      <c r="F18" s="19" t="s">
        <v>84</v>
      </c>
      <c r="G18" s="19" t="s">
        <v>140</v>
      </c>
      <c r="H18" s="19">
        <v>804</v>
      </c>
      <c r="I18" s="19">
        <v>4320</v>
      </c>
      <c r="J18" s="20" t="s">
        <v>133</v>
      </c>
    </row>
    <row r="19" spans="1:10" ht="15.75" customHeight="1" x14ac:dyDescent="0.2">
      <c r="A19" s="19">
        <v>18</v>
      </c>
      <c r="B19" s="19" t="s">
        <v>141</v>
      </c>
      <c r="C19" s="19" t="s">
        <v>142</v>
      </c>
      <c r="D19" s="19" t="s">
        <v>15</v>
      </c>
      <c r="E19" s="19" t="s">
        <v>120</v>
      </c>
      <c r="F19" s="19" t="s">
        <v>81</v>
      </c>
      <c r="G19" s="19" t="s">
        <v>143</v>
      </c>
      <c r="H19" s="19">
        <v>759</v>
      </c>
      <c r="I19" s="19">
        <v>1680</v>
      </c>
      <c r="J19" s="20" t="s">
        <v>133</v>
      </c>
    </row>
    <row r="20" spans="1:10" ht="15.75" customHeight="1" x14ac:dyDescent="0.2">
      <c r="A20" s="19">
        <v>25</v>
      </c>
      <c r="B20" s="19" t="s">
        <v>144</v>
      </c>
      <c r="C20" s="19" t="s">
        <v>145</v>
      </c>
      <c r="D20" s="19" t="s">
        <v>15</v>
      </c>
      <c r="E20" s="19" t="s">
        <v>128</v>
      </c>
      <c r="F20" s="19" t="s">
        <v>82</v>
      </c>
      <c r="G20" s="19" t="s">
        <v>146</v>
      </c>
      <c r="H20" s="19">
        <v>740</v>
      </c>
      <c r="I20" s="19">
        <v>6780</v>
      </c>
      <c r="J20" s="20" t="s">
        <v>133</v>
      </c>
    </row>
    <row r="21" spans="1:10" ht="15.75" customHeight="1" x14ac:dyDescent="0.2">
      <c r="A21" s="19">
        <v>29</v>
      </c>
      <c r="B21" s="19" t="s">
        <v>147</v>
      </c>
      <c r="C21" s="19" t="s">
        <v>148</v>
      </c>
      <c r="D21" s="19" t="s">
        <v>15</v>
      </c>
      <c r="E21" s="19" t="s">
        <v>124</v>
      </c>
      <c r="F21" s="19" t="s">
        <v>83</v>
      </c>
      <c r="G21" s="19" t="s">
        <v>149</v>
      </c>
      <c r="H21" s="19">
        <v>690</v>
      </c>
      <c r="I21" s="19">
        <v>9870</v>
      </c>
      <c r="J21" s="20" t="s">
        <v>133</v>
      </c>
    </row>
    <row r="22" spans="1:10" ht="15.75" customHeight="1" x14ac:dyDescent="0.2">
      <c r="A22" s="19">
        <v>32</v>
      </c>
      <c r="B22" s="19" t="s">
        <v>150</v>
      </c>
      <c r="C22" s="19" t="s">
        <v>151</v>
      </c>
      <c r="D22" s="19" t="s">
        <v>20</v>
      </c>
      <c r="E22" s="19" t="s">
        <v>100</v>
      </c>
      <c r="F22" s="19" t="s">
        <v>84</v>
      </c>
      <c r="G22" s="19" t="s">
        <v>152</v>
      </c>
      <c r="H22" s="19">
        <v>676</v>
      </c>
      <c r="I22" s="19">
        <v>780</v>
      </c>
      <c r="J22" s="20" t="s">
        <v>133</v>
      </c>
    </row>
    <row r="23" spans="1:10" ht="15.75" customHeight="1" x14ac:dyDescent="0.2">
      <c r="A23" s="19">
        <v>38</v>
      </c>
      <c r="B23" s="19" t="s">
        <v>153</v>
      </c>
      <c r="C23" s="19" t="s">
        <v>154</v>
      </c>
      <c r="D23" s="19" t="s">
        <v>15</v>
      </c>
      <c r="E23" s="19" t="s">
        <v>105</v>
      </c>
      <c r="F23" s="19" t="s">
        <v>77</v>
      </c>
      <c r="G23" s="19" t="s">
        <v>155</v>
      </c>
      <c r="H23" s="19">
        <v>654</v>
      </c>
      <c r="I23" s="19">
        <v>7840</v>
      </c>
      <c r="J23" s="20" t="s">
        <v>133</v>
      </c>
    </row>
    <row r="24" spans="1:10" ht="15.75" customHeight="1" x14ac:dyDescent="0.2">
      <c r="A24" s="19">
        <v>45</v>
      </c>
      <c r="B24" s="19" t="s">
        <v>156</v>
      </c>
      <c r="C24" s="19" t="s">
        <v>157</v>
      </c>
      <c r="D24" s="19" t="s">
        <v>15</v>
      </c>
      <c r="E24" s="19" t="s">
        <v>136</v>
      </c>
      <c r="F24" s="19" t="s">
        <v>79</v>
      </c>
      <c r="G24" s="19" t="s">
        <v>158</v>
      </c>
      <c r="H24" s="19">
        <v>607</v>
      </c>
      <c r="I24" s="19">
        <v>14300</v>
      </c>
      <c r="J24" s="20" t="s">
        <v>133</v>
      </c>
    </row>
    <row r="25" spans="1:10" ht="15.75" customHeight="1" x14ac:dyDescent="0.2">
      <c r="A25" s="19">
        <v>47</v>
      </c>
      <c r="B25" s="19" t="s">
        <v>159</v>
      </c>
      <c r="C25" s="19" t="s">
        <v>160</v>
      </c>
      <c r="D25" s="19" t="s">
        <v>15</v>
      </c>
      <c r="E25" s="19" t="s">
        <v>124</v>
      </c>
      <c r="F25" s="19" t="s">
        <v>83</v>
      </c>
      <c r="G25" s="19" t="s">
        <v>161</v>
      </c>
      <c r="H25" s="19">
        <v>591</v>
      </c>
      <c r="I25" s="19">
        <v>21500</v>
      </c>
      <c r="J25" s="20" t="s">
        <v>133</v>
      </c>
    </row>
    <row r="26" spans="1:10" ht="15.75" customHeight="1" x14ac:dyDescent="0.2">
      <c r="A26" s="16">
        <v>2</v>
      </c>
      <c r="B26" s="16" t="s">
        <v>162</v>
      </c>
      <c r="C26" s="16" t="s">
        <v>163</v>
      </c>
      <c r="D26" s="16" t="s">
        <v>15</v>
      </c>
      <c r="E26" s="16" t="s">
        <v>105</v>
      </c>
      <c r="F26" s="16" t="s">
        <v>77</v>
      </c>
      <c r="G26" s="16" t="s">
        <v>164</v>
      </c>
      <c r="H26" s="16">
        <v>550</v>
      </c>
      <c r="I26" s="16">
        <v>3820</v>
      </c>
      <c r="J26" s="21" t="s">
        <v>165</v>
      </c>
    </row>
    <row r="27" spans="1:10" ht="15.75" customHeight="1" x14ac:dyDescent="0.2">
      <c r="A27" s="16">
        <v>8</v>
      </c>
      <c r="B27" s="16" t="s">
        <v>166</v>
      </c>
      <c r="C27" s="16" t="s">
        <v>167</v>
      </c>
      <c r="D27" s="16" t="s">
        <v>15</v>
      </c>
      <c r="E27" s="16" t="s">
        <v>128</v>
      </c>
      <c r="F27" s="16" t="s">
        <v>82</v>
      </c>
      <c r="G27" s="16" t="s">
        <v>168</v>
      </c>
      <c r="H27" s="16">
        <v>537</v>
      </c>
      <c r="I27" s="16">
        <v>9230</v>
      </c>
      <c r="J27" s="21" t="s">
        <v>165</v>
      </c>
    </row>
    <row r="28" spans="1:10" ht="15.75" customHeight="1" x14ac:dyDescent="0.2">
      <c r="A28" s="16">
        <v>11</v>
      </c>
      <c r="B28" s="16" t="s">
        <v>169</v>
      </c>
      <c r="C28" s="16" t="s">
        <v>170</v>
      </c>
      <c r="D28" s="16" t="s">
        <v>15</v>
      </c>
      <c r="E28" s="16" t="s">
        <v>124</v>
      </c>
      <c r="F28" s="16" t="s">
        <v>83</v>
      </c>
      <c r="G28" s="16" t="s">
        <v>171</v>
      </c>
      <c r="H28" s="16">
        <v>496</v>
      </c>
      <c r="I28" s="16">
        <v>7890</v>
      </c>
      <c r="J28" s="21" t="s">
        <v>165</v>
      </c>
    </row>
    <row r="29" spans="1:10" ht="15.75" customHeight="1" x14ac:dyDescent="0.2">
      <c r="A29" s="16">
        <v>16</v>
      </c>
      <c r="B29" s="16" t="s">
        <v>172</v>
      </c>
      <c r="C29" s="16" t="s">
        <v>173</v>
      </c>
      <c r="D29" s="16" t="s">
        <v>15</v>
      </c>
      <c r="E29" s="16" t="s">
        <v>109</v>
      </c>
      <c r="F29" s="16" t="s">
        <v>80</v>
      </c>
      <c r="G29" s="16" t="s">
        <v>174</v>
      </c>
      <c r="H29" s="16">
        <v>472</v>
      </c>
      <c r="I29" s="16">
        <v>12400</v>
      </c>
      <c r="J29" s="21" t="s">
        <v>165</v>
      </c>
    </row>
    <row r="30" spans="1:10" ht="15.75" customHeight="1" x14ac:dyDescent="0.2">
      <c r="A30" s="16">
        <v>21</v>
      </c>
      <c r="B30" s="16" t="s">
        <v>175</v>
      </c>
      <c r="C30" s="16" t="s">
        <v>176</v>
      </c>
      <c r="D30" s="16" t="s">
        <v>15</v>
      </c>
      <c r="E30" s="16" t="s">
        <v>113</v>
      </c>
      <c r="F30" s="16" t="s">
        <v>78</v>
      </c>
      <c r="G30" s="16" t="s">
        <v>177</v>
      </c>
      <c r="H30" s="16">
        <v>432</v>
      </c>
      <c r="I30" s="16">
        <v>8920</v>
      </c>
      <c r="J30" s="21" t="s">
        <v>165</v>
      </c>
    </row>
    <row r="31" spans="1:10" ht="15.75" customHeight="1" x14ac:dyDescent="0.2">
      <c r="A31" s="16">
        <v>26</v>
      </c>
      <c r="B31" s="16" t="s">
        <v>178</v>
      </c>
      <c r="C31" s="16" t="s">
        <v>179</v>
      </c>
      <c r="D31" s="16" t="s">
        <v>15</v>
      </c>
      <c r="E31" s="16" t="s">
        <v>128</v>
      </c>
      <c r="F31" s="16" t="s">
        <v>82</v>
      </c>
      <c r="G31" s="16" t="s">
        <v>180</v>
      </c>
      <c r="H31" s="16">
        <v>408</v>
      </c>
      <c r="I31" s="16">
        <v>2340</v>
      </c>
      <c r="J31" s="21" t="s">
        <v>165</v>
      </c>
    </row>
  </sheetData>
  <mergeCells count="5">
    <mergeCell ref="A1:J1"/>
    <mergeCell ref="A2:J2"/>
    <mergeCell ref="A4:C5"/>
    <mergeCell ref="D4:F5"/>
    <mergeCell ref="G4:I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3"/>
  <sheetViews>
    <sheetView showGridLines="0" zoomScaleNormal="100" workbookViewId="0">
      <pane ySplit="3" topLeftCell="A4" activePane="bottomLeft" state="frozen"/>
      <selection pane="bottomLeft" sqref="A1:I1"/>
    </sheetView>
  </sheetViews>
  <sheetFormatPr baseColWidth="10" defaultColWidth="8.6640625" defaultRowHeight="15" x14ac:dyDescent="0.2"/>
  <cols>
    <col min="1" max="1" width="7" customWidth="1"/>
    <col min="2" max="2" width="28" customWidth="1"/>
    <col min="3" max="3" width="16" customWidth="1"/>
    <col min="4" max="4" width="11" customWidth="1"/>
    <col min="5" max="5" width="7" customWidth="1"/>
    <col min="6" max="6" width="11" customWidth="1"/>
    <col min="7" max="7" width="13" customWidth="1"/>
    <col min="8" max="8" width="14" customWidth="1"/>
    <col min="9" max="9" width="16" customWidth="1"/>
  </cols>
  <sheetData>
    <row r="1" spans="1:9" ht="37.5" customHeight="1" x14ac:dyDescent="0.2">
      <c r="A1" s="9" t="s">
        <v>181</v>
      </c>
      <c r="B1" s="9"/>
      <c r="C1" s="9"/>
      <c r="D1" s="9"/>
      <c r="E1" s="9"/>
      <c r="F1" s="9"/>
      <c r="G1" s="9"/>
      <c r="H1" s="9"/>
      <c r="I1" s="9"/>
    </row>
    <row r="2" spans="1:9" ht="18" customHeight="1" x14ac:dyDescent="0.2">
      <c r="A2" s="8" t="s">
        <v>182</v>
      </c>
      <c r="B2" s="8"/>
      <c r="C2" s="8"/>
      <c r="D2" s="8"/>
      <c r="E2" s="8"/>
      <c r="F2" s="8"/>
      <c r="G2" s="8"/>
      <c r="H2" s="8"/>
      <c r="I2" s="8"/>
    </row>
    <row r="3" spans="1:9" ht="27.75" customHeight="1" x14ac:dyDescent="0.2">
      <c r="A3" s="10" t="s">
        <v>183</v>
      </c>
      <c r="B3" s="10" t="s">
        <v>184</v>
      </c>
      <c r="C3" s="10" t="s">
        <v>93</v>
      </c>
      <c r="D3" s="10" t="s">
        <v>185</v>
      </c>
      <c r="E3" s="10" t="s">
        <v>186</v>
      </c>
      <c r="F3" s="10" t="s">
        <v>4</v>
      </c>
      <c r="G3" s="10" t="s">
        <v>38</v>
      </c>
      <c r="H3" s="10" t="s">
        <v>37</v>
      </c>
      <c r="I3" s="10" t="s">
        <v>187</v>
      </c>
    </row>
    <row r="4" spans="1:9" ht="15.75" customHeight="1" x14ac:dyDescent="0.2">
      <c r="A4" s="22">
        <v>1</v>
      </c>
      <c r="B4" s="22" t="s">
        <v>188</v>
      </c>
      <c r="C4" s="22" t="s">
        <v>113</v>
      </c>
      <c r="D4" s="22" t="s">
        <v>189</v>
      </c>
      <c r="E4" s="22">
        <v>52</v>
      </c>
      <c r="F4" s="22">
        <v>14</v>
      </c>
      <c r="G4" s="22">
        <v>98</v>
      </c>
      <c r="H4" s="22">
        <v>131400</v>
      </c>
      <c r="I4" s="22">
        <v>2527</v>
      </c>
    </row>
    <row r="5" spans="1:9" ht="15.75" customHeight="1" x14ac:dyDescent="0.2">
      <c r="A5" s="11">
        <v>2</v>
      </c>
      <c r="B5" s="11" t="s">
        <v>190</v>
      </c>
      <c r="C5" s="11" t="s">
        <v>191</v>
      </c>
      <c r="D5" s="11" t="s">
        <v>189</v>
      </c>
      <c r="E5" s="11">
        <v>30</v>
      </c>
      <c r="F5" s="11">
        <v>12</v>
      </c>
      <c r="G5" s="11">
        <v>84</v>
      </c>
      <c r="H5" s="11">
        <v>121800</v>
      </c>
      <c r="I5" s="11">
        <v>4060</v>
      </c>
    </row>
    <row r="6" spans="1:9" ht="15.75" customHeight="1" x14ac:dyDescent="0.2">
      <c r="A6" s="12">
        <v>3</v>
      </c>
      <c r="B6" s="12" t="s">
        <v>192</v>
      </c>
      <c r="C6" s="12" t="s">
        <v>105</v>
      </c>
      <c r="D6" s="12" t="s">
        <v>193</v>
      </c>
      <c r="E6" s="12">
        <v>45</v>
      </c>
      <c r="F6" s="12">
        <v>13</v>
      </c>
      <c r="G6" s="12">
        <v>91</v>
      </c>
      <c r="H6" s="12">
        <v>115600</v>
      </c>
      <c r="I6" s="12">
        <v>2569</v>
      </c>
    </row>
    <row r="7" spans="1:9" ht="15.75" customHeight="1" x14ac:dyDescent="0.2">
      <c r="A7" s="11">
        <v>4</v>
      </c>
      <c r="B7" s="11" t="s">
        <v>194</v>
      </c>
      <c r="C7" s="11" t="s">
        <v>136</v>
      </c>
      <c r="D7" s="11" t="s">
        <v>195</v>
      </c>
      <c r="E7" s="11">
        <v>35</v>
      </c>
      <c r="F7" s="11">
        <v>11</v>
      </c>
      <c r="G7" s="11">
        <v>77</v>
      </c>
      <c r="H7" s="11">
        <v>112300</v>
      </c>
      <c r="I7" s="11">
        <v>3209</v>
      </c>
    </row>
    <row r="8" spans="1:9" ht="15.75" customHeight="1" x14ac:dyDescent="0.2">
      <c r="A8" s="12">
        <v>5</v>
      </c>
      <c r="B8" s="12" t="s">
        <v>196</v>
      </c>
      <c r="C8" s="12" t="s">
        <v>128</v>
      </c>
      <c r="D8" s="12" t="s">
        <v>197</v>
      </c>
      <c r="E8" s="12">
        <v>41</v>
      </c>
      <c r="F8" s="12">
        <v>12</v>
      </c>
      <c r="G8" s="12">
        <v>84</v>
      </c>
      <c r="H8" s="12">
        <v>107400</v>
      </c>
      <c r="I8" s="12">
        <v>2619</v>
      </c>
    </row>
    <row r="9" spans="1:9" ht="15.75" customHeight="1" x14ac:dyDescent="0.2">
      <c r="A9" s="11">
        <v>6</v>
      </c>
      <c r="B9" s="11" t="s">
        <v>198</v>
      </c>
      <c r="C9" s="11" t="s">
        <v>120</v>
      </c>
      <c r="D9" s="11" t="s">
        <v>189</v>
      </c>
      <c r="E9" s="11">
        <v>27</v>
      </c>
      <c r="F9" s="11">
        <v>9</v>
      </c>
      <c r="G9" s="11">
        <v>63</v>
      </c>
      <c r="H9" s="11">
        <v>103200</v>
      </c>
      <c r="I9" s="11">
        <v>3822</v>
      </c>
    </row>
    <row r="10" spans="1:9" ht="15.75" customHeight="1" x14ac:dyDescent="0.2">
      <c r="A10" s="12">
        <v>7</v>
      </c>
      <c r="B10" s="12" t="s">
        <v>199</v>
      </c>
      <c r="C10" s="12" t="s">
        <v>109</v>
      </c>
      <c r="D10" s="12" t="s">
        <v>193</v>
      </c>
      <c r="E10" s="12">
        <v>33</v>
      </c>
      <c r="F10" s="12">
        <v>10</v>
      </c>
      <c r="G10" s="12">
        <v>70</v>
      </c>
      <c r="H10" s="12">
        <v>96400</v>
      </c>
      <c r="I10" s="12">
        <v>2921</v>
      </c>
    </row>
    <row r="11" spans="1:9" ht="15.75" customHeight="1" x14ac:dyDescent="0.2">
      <c r="A11" s="11">
        <v>8</v>
      </c>
      <c r="B11" s="11" t="s">
        <v>200</v>
      </c>
      <c r="C11" s="11" t="s">
        <v>105</v>
      </c>
      <c r="D11" s="11" t="s">
        <v>193</v>
      </c>
      <c r="E11" s="11">
        <v>38</v>
      </c>
      <c r="F11" s="11">
        <v>9</v>
      </c>
      <c r="G11" s="11">
        <v>63</v>
      </c>
      <c r="H11" s="11">
        <v>88700</v>
      </c>
      <c r="I11" s="11">
        <v>2334</v>
      </c>
    </row>
    <row r="12" spans="1:9" ht="15.75" customHeight="1" x14ac:dyDescent="0.2">
      <c r="A12" s="12">
        <v>9</v>
      </c>
      <c r="B12" s="12" t="s">
        <v>201</v>
      </c>
      <c r="C12" s="12" t="s">
        <v>124</v>
      </c>
      <c r="D12" s="12" t="s">
        <v>195</v>
      </c>
      <c r="E12" s="12">
        <v>28</v>
      </c>
      <c r="F12" s="12">
        <v>8</v>
      </c>
      <c r="G12" s="12">
        <v>56</v>
      </c>
      <c r="H12" s="12">
        <v>79200</v>
      </c>
      <c r="I12" s="12">
        <v>2829</v>
      </c>
    </row>
    <row r="13" spans="1:9" ht="15.75" customHeight="1" x14ac:dyDescent="0.2">
      <c r="A13" s="11">
        <v>10</v>
      </c>
      <c r="B13" s="11" t="s">
        <v>202</v>
      </c>
      <c r="C13" s="11" t="s">
        <v>100</v>
      </c>
      <c r="D13" s="11" t="s">
        <v>189</v>
      </c>
      <c r="E13" s="11">
        <v>22</v>
      </c>
      <c r="F13" s="11">
        <v>7</v>
      </c>
      <c r="G13" s="11">
        <v>49</v>
      </c>
      <c r="H13" s="11">
        <v>74300</v>
      </c>
      <c r="I13" s="11">
        <v>3377</v>
      </c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7"/>
  <sheetViews>
    <sheetView showGridLines="0" zoomScaleNormal="100" workbookViewId="0">
      <selection sqref="A1:N1"/>
    </sheetView>
  </sheetViews>
  <sheetFormatPr baseColWidth="10" defaultColWidth="8.6640625" defaultRowHeight="15" x14ac:dyDescent="0.2"/>
  <cols>
    <col min="1" max="1" width="13" customWidth="1"/>
    <col min="2" max="14" width="9" customWidth="1"/>
  </cols>
  <sheetData>
    <row r="1" spans="1:14" ht="37.5" customHeight="1" x14ac:dyDescent="0.2">
      <c r="A1" s="9" t="s">
        <v>203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pans="1:14" ht="18" customHeight="1" x14ac:dyDescent="0.2">
      <c r="A2" s="8" t="s">
        <v>204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3" spans="1:14" ht="24" customHeight="1" x14ac:dyDescent="0.2">
      <c r="A3" s="13" t="s">
        <v>205</v>
      </c>
      <c r="B3" s="13" t="s">
        <v>206</v>
      </c>
      <c r="C3" s="13" t="s">
        <v>207</v>
      </c>
      <c r="D3" s="13" t="s">
        <v>208</v>
      </c>
      <c r="E3" s="13" t="s">
        <v>209</v>
      </c>
      <c r="F3" s="13" t="s">
        <v>210</v>
      </c>
      <c r="G3" s="13" t="s">
        <v>211</v>
      </c>
      <c r="H3" s="13" t="s">
        <v>212</v>
      </c>
      <c r="I3" s="13" t="s">
        <v>213</v>
      </c>
      <c r="J3" s="13" t="s">
        <v>214</v>
      </c>
      <c r="K3" s="13" t="s">
        <v>215</v>
      </c>
      <c r="L3" s="13" t="s">
        <v>216</v>
      </c>
      <c r="M3" s="13" t="s">
        <v>217</v>
      </c>
      <c r="N3" s="13" t="s">
        <v>218</v>
      </c>
    </row>
    <row r="4" spans="1:14" ht="18" customHeight="1" x14ac:dyDescent="0.2">
      <c r="A4" s="23" t="s">
        <v>44</v>
      </c>
      <c r="B4" s="24">
        <v>1</v>
      </c>
      <c r="C4" s="25">
        <v>0.82</v>
      </c>
      <c r="D4" s="25">
        <v>0.74</v>
      </c>
      <c r="E4" s="25">
        <v>0.68</v>
      </c>
      <c r="F4" s="25">
        <v>0.61</v>
      </c>
      <c r="G4" s="25">
        <v>0.56999999999999995</v>
      </c>
      <c r="H4" s="25">
        <v>0.52</v>
      </c>
      <c r="I4" s="25">
        <v>0.48</v>
      </c>
      <c r="J4" s="25">
        <v>0.44</v>
      </c>
      <c r="K4" s="25">
        <v>0.41</v>
      </c>
      <c r="L4" s="25">
        <v>0.38</v>
      </c>
      <c r="M4" s="25">
        <v>0.36</v>
      </c>
      <c r="N4" s="25">
        <v>0.34</v>
      </c>
    </row>
    <row r="5" spans="1:14" ht="18" customHeight="1" x14ac:dyDescent="0.2">
      <c r="A5" s="23" t="s">
        <v>48</v>
      </c>
      <c r="B5" s="24">
        <v>1</v>
      </c>
      <c r="C5" s="25">
        <v>0.79</v>
      </c>
      <c r="D5" s="25">
        <v>0.71</v>
      </c>
      <c r="E5" s="25">
        <v>0.64</v>
      </c>
      <c r="F5" s="25">
        <v>0.57999999999999996</v>
      </c>
      <c r="G5" s="25">
        <v>0.53</v>
      </c>
      <c r="H5" s="25">
        <v>0.49</v>
      </c>
      <c r="I5" s="25">
        <v>0.45</v>
      </c>
      <c r="J5" s="25">
        <v>0.41</v>
      </c>
      <c r="K5" s="25">
        <v>0.38</v>
      </c>
      <c r="L5" s="25">
        <v>0.35</v>
      </c>
      <c r="M5" s="25">
        <v>0.33</v>
      </c>
      <c r="N5" s="26"/>
    </row>
    <row r="6" spans="1:14" ht="18" customHeight="1" x14ac:dyDescent="0.2">
      <c r="A6" s="23" t="s">
        <v>51</v>
      </c>
      <c r="B6" s="24">
        <v>1</v>
      </c>
      <c r="C6" s="25">
        <v>0.84</v>
      </c>
      <c r="D6" s="25">
        <v>0.76</v>
      </c>
      <c r="E6" s="25">
        <v>0.7</v>
      </c>
      <c r="F6" s="25">
        <v>0.63</v>
      </c>
      <c r="G6" s="25">
        <v>0.59</v>
      </c>
      <c r="H6" s="25">
        <v>0.54</v>
      </c>
      <c r="I6" s="25">
        <v>0.5</v>
      </c>
      <c r="J6" s="25">
        <v>0.46</v>
      </c>
      <c r="K6" s="25">
        <v>0.43</v>
      </c>
      <c r="L6" s="25">
        <v>0.4</v>
      </c>
      <c r="M6" s="26"/>
      <c r="N6" s="26"/>
    </row>
    <row r="7" spans="1:14" ht="18" customHeight="1" x14ac:dyDescent="0.2">
      <c r="A7" s="23" t="s">
        <v>54</v>
      </c>
      <c r="B7" s="24">
        <v>1</v>
      </c>
      <c r="C7" s="25">
        <v>0.77</v>
      </c>
      <c r="D7" s="25">
        <v>0.69</v>
      </c>
      <c r="E7" s="25">
        <v>0.62</v>
      </c>
      <c r="F7" s="25">
        <v>0.56000000000000005</v>
      </c>
      <c r="G7" s="25">
        <v>0.51</v>
      </c>
      <c r="H7" s="25">
        <v>0.47</v>
      </c>
      <c r="I7" s="25">
        <v>0.43</v>
      </c>
      <c r="J7" s="25">
        <v>0.39</v>
      </c>
      <c r="K7" s="25">
        <v>0.36</v>
      </c>
      <c r="L7" s="26"/>
      <c r="M7" s="26"/>
      <c r="N7" s="26"/>
    </row>
    <row r="8" spans="1:14" ht="18" customHeight="1" x14ac:dyDescent="0.2">
      <c r="A8" s="23" t="s">
        <v>57</v>
      </c>
      <c r="B8" s="24">
        <v>1</v>
      </c>
      <c r="C8" s="25">
        <v>0.81</v>
      </c>
      <c r="D8" s="25">
        <v>0.73</v>
      </c>
      <c r="E8" s="25">
        <v>0.67</v>
      </c>
      <c r="F8" s="25">
        <v>0.6</v>
      </c>
      <c r="G8" s="25">
        <v>0.56000000000000005</v>
      </c>
      <c r="H8" s="25">
        <v>0.51</v>
      </c>
      <c r="I8" s="25">
        <v>0.47</v>
      </c>
      <c r="J8" s="25">
        <v>0.43</v>
      </c>
      <c r="K8" s="26"/>
      <c r="L8" s="26"/>
      <c r="M8" s="26"/>
      <c r="N8" s="26"/>
    </row>
    <row r="9" spans="1:14" ht="18" customHeight="1" x14ac:dyDescent="0.2">
      <c r="A9" s="23" t="s">
        <v>60</v>
      </c>
      <c r="B9" s="24">
        <v>1</v>
      </c>
      <c r="C9" s="25">
        <v>0.8</v>
      </c>
      <c r="D9" s="25">
        <v>0.72</v>
      </c>
      <c r="E9" s="25">
        <v>0.65</v>
      </c>
      <c r="F9" s="25">
        <v>0.59</v>
      </c>
      <c r="G9" s="25">
        <v>0.54</v>
      </c>
      <c r="H9" s="25">
        <v>0.5</v>
      </c>
      <c r="I9" s="25">
        <v>0.46</v>
      </c>
      <c r="J9" s="26"/>
      <c r="K9" s="26"/>
      <c r="L9" s="26"/>
      <c r="M9" s="26"/>
      <c r="N9" s="26"/>
    </row>
    <row r="10" spans="1:14" ht="18" customHeight="1" x14ac:dyDescent="0.2">
      <c r="A10" s="23" t="s">
        <v>63</v>
      </c>
      <c r="B10" s="24">
        <v>1</v>
      </c>
      <c r="C10" s="25">
        <v>0.83</v>
      </c>
      <c r="D10" s="25">
        <v>0.75</v>
      </c>
      <c r="E10" s="25">
        <v>0.69</v>
      </c>
      <c r="F10" s="25">
        <v>0.62</v>
      </c>
      <c r="G10" s="25">
        <v>0.57999999999999996</v>
      </c>
      <c r="H10" s="25">
        <v>0.53</v>
      </c>
      <c r="I10" s="26"/>
      <c r="J10" s="26"/>
      <c r="K10" s="26"/>
      <c r="L10" s="26"/>
      <c r="M10" s="26"/>
      <c r="N10" s="26"/>
    </row>
    <row r="11" spans="1:14" ht="18" customHeight="1" x14ac:dyDescent="0.2">
      <c r="A11" s="23" t="s">
        <v>66</v>
      </c>
      <c r="B11" s="24">
        <v>1</v>
      </c>
      <c r="C11" s="25">
        <v>0.78</v>
      </c>
      <c r="D11" s="25">
        <v>0.7</v>
      </c>
      <c r="E11" s="25">
        <v>0.63</v>
      </c>
      <c r="F11" s="25">
        <v>0.56999999999999995</v>
      </c>
      <c r="G11" s="25">
        <v>0.52</v>
      </c>
      <c r="H11" s="26"/>
      <c r="I11" s="26"/>
      <c r="J11" s="26"/>
      <c r="K11" s="26"/>
      <c r="L11" s="26"/>
      <c r="M11" s="26"/>
      <c r="N11" s="26"/>
    </row>
    <row r="12" spans="1:14" ht="18" customHeight="1" x14ac:dyDescent="0.2">
      <c r="A12" s="23" t="s">
        <v>219</v>
      </c>
      <c r="B12" s="24">
        <v>1</v>
      </c>
      <c r="C12" s="25">
        <v>0.85</v>
      </c>
      <c r="D12" s="25">
        <v>0.77</v>
      </c>
      <c r="E12" s="25">
        <v>0.71</v>
      </c>
      <c r="F12" s="25">
        <v>0.64</v>
      </c>
      <c r="G12" s="26"/>
      <c r="H12" s="26"/>
      <c r="I12" s="26"/>
      <c r="J12" s="26"/>
      <c r="K12" s="26"/>
      <c r="L12" s="26"/>
      <c r="M12" s="26"/>
      <c r="N12" s="26"/>
    </row>
    <row r="13" spans="1:14" ht="18" customHeight="1" x14ac:dyDescent="0.2">
      <c r="A13" s="23" t="s">
        <v>220</v>
      </c>
      <c r="B13" s="24">
        <v>1</v>
      </c>
      <c r="C13" s="25">
        <v>0.82</v>
      </c>
      <c r="D13" s="25">
        <v>0.74</v>
      </c>
      <c r="E13" s="25">
        <v>0.67</v>
      </c>
      <c r="F13" s="26"/>
      <c r="G13" s="26"/>
      <c r="H13" s="26"/>
      <c r="I13" s="26"/>
      <c r="J13" s="26"/>
      <c r="K13" s="26"/>
      <c r="L13" s="26"/>
      <c r="M13" s="26"/>
      <c r="N13" s="26"/>
    </row>
    <row r="14" spans="1:14" ht="18" customHeight="1" x14ac:dyDescent="0.2">
      <c r="A14" s="23" t="s">
        <v>221</v>
      </c>
      <c r="B14" s="24">
        <v>1</v>
      </c>
      <c r="C14" s="25">
        <v>0.8</v>
      </c>
      <c r="D14" s="25">
        <v>0.72</v>
      </c>
      <c r="E14" s="26"/>
      <c r="F14" s="26"/>
      <c r="G14" s="26"/>
      <c r="H14" s="26"/>
      <c r="I14" s="26"/>
      <c r="J14" s="26"/>
      <c r="K14" s="26"/>
      <c r="L14" s="26"/>
      <c r="M14" s="26"/>
      <c r="N14" s="26"/>
    </row>
    <row r="15" spans="1:14" ht="18" customHeight="1" x14ac:dyDescent="0.2">
      <c r="A15" s="23" t="s">
        <v>222</v>
      </c>
      <c r="B15" s="24">
        <v>1</v>
      </c>
      <c r="C15" s="25">
        <v>0.83</v>
      </c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</row>
    <row r="17" spans="1:6" ht="18" customHeight="1" x14ac:dyDescent="0.2">
      <c r="A17" s="27" t="s">
        <v>223</v>
      </c>
      <c r="B17" s="28" t="s">
        <v>224</v>
      </c>
      <c r="C17" s="29" t="s">
        <v>225</v>
      </c>
      <c r="D17" s="30" t="s">
        <v>226</v>
      </c>
      <c r="E17" s="31" t="s">
        <v>227</v>
      </c>
      <c r="F17" s="32" t="s">
        <v>228</v>
      </c>
    </row>
  </sheetData>
  <mergeCells count="2">
    <mergeCell ref="A1:N1"/>
    <mergeCell ref="A2:N2"/>
  </mergeCells>
  <conditionalFormatting sqref="B4:N15">
    <cfRule type="colorScale" priority="2">
      <colorScale>
        <cfvo type="num" val="0"/>
        <cfvo type="num" val="0.5"/>
        <cfvo type="num" val="1"/>
        <color rgb="FFC0392B"/>
        <color rgb="FFF9E79F"/>
        <color rgb="FF1E7145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3"/>
  <sheetViews>
    <sheetView showGridLines="0" zoomScaleNormal="100" workbookViewId="0">
      <pane ySplit="3" topLeftCell="A4" activePane="bottomLeft" state="frozen"/>
      <selection pane="bottomLeft" sqref="A1:J1"/>
    </sheetView>
  </sheetViews>
  <sheetFormatPr baseColWidth="10" defaultColWidth="8.6640625" defaultRowHeight="15" x14ac:dyDescent="0.2"/>
  <cols>
    <col min="1" max="1" width="7" customWidth="1"/>
    <col min="2" max="2" width="22" customWidth="1"/>
    <col min="3" max="3" width="11" customWidth="1"/>
    <col min="4" max="4" width="24" customWidth="1"/>
    <col min="5" max="5" width="7" customWidth="1"/>
    <col min="6" max="6" width="14" customWidth="1"/>
    <col min="7" max="7" width="13" customWidth="1"/>
    <col min="8" max="9" width="16" customWidth="1"/>
    <col min="10" max="10" width="13" customWidth="1"/>
  </cols>
  <sheetData>
    <row r="1" spans="1:10" ht="37.5" customHeight="1" x14ac:dyDescent="0.2">
      <c r="A1" s="9" t="s">
        <v>229</v>
      </c>
      <c r="B1" s="9"/>
      <c r="C1" s="9"/>
      <c r="D1" s="9"/>
      <c r="E1" s="9"/>
      <c r="F1" s="9"/>
      <c r="G1" s="9"/>
      <c r="H1" s="9"/>
      <c r="I1" s="9"/>
      <c r="J1" s="9"/>
    </row>
    <row r="2" spans="1:10" ht="18" customHeight="1" x14ac:dyDescent="0.2">
      <c r="A2" s="8" t="s">
        <v>230</v>
      </c>
      <c r="B2" s="8"/>
      <c r="C2" s="8"/>
      <c r="D2" s="8"/>
      <c r="E2" s="8"/>
      <c r="F2" s="8"/>
      <c r="G2" s="8"/>
      <c r="H2" s="8"/>
      <c r="I2" s="8"/>
      <c r="J2" s="8"/>
    </row>
    <row r="3" spans="1:10" ht="27.75" customHeight="1" x14ac:dyDescent="0.2">
      <c r="A3" s="10" t="s">
        <v>183</v>
      </c>
      <c r="B3" s="10" t="s">
        <v>231</v>
      </c>
      <c r="C3" s="10" t="s">
        <v>3</v>
      </c>
      <c r="D3" s="10" t="s">
        <v>232</v>
      </c>
      <c r="E3" s="10" t="s">
        <v>71</v>
      </c>
      <c r="F3" s="10" t="s">
        <v>75</v>
      </c>
      <c r="G3" s="10" t="s">
        <v>38</v>
      </c>
      <c r="H3" s="10" t="s">
        <v>233</v>
      </c>
      <c r="I3" s="10" t="s">
        <v>234</v>
      </c>
      <c r="J3" s="10" t="s">
        <v>96</v>
      </c>
    </row>
    <row r="4" spans="1:10" ht="15.75" customHeight="1" x14ac:dyDescent="0.2">
      <c r="A4" s="22">
        <v>1</v>
      </c>
      <c r="B4" s="22" t="s">
        <v>235</v>
      </c>
      <c r="C4" s="22" t="s">
        <v>10</v>
      </c>
      <c r="D4" s="22" t="s">
        <v>236</v>
      </c>
      <c r="E4" s="22" t="s">
        <v>77</v>
      </c>
      <c r="F4" s="22">
        <v>312800</v>
      </c>
      <c r="G4" s="22">
        <v>48</v>
      </c>
      <c r="H4" s="22">
        <v>26067</v>
      </c>
      <c r="I4" s="22">
        <v>312800</v>
      </c>
      <c r="J4" s="22">
        <v>720000</v>
      </c>
    </row>
    <row r="5" spans="1:10" ht="15.75" customHeight="1" x14ac:dyDescent="0.2">
      <c r="A5" s="11">
        <v>2</v>
      </c>
      <c r="B5" s="11" t="s">
        <v>237</v>
      </c>
      <c r="C5" s="11" t="s">
        <v>10</v>
      </c>
      <c r="D5" s="11" t="s">
        <v>238</v>
      </c>
      <c r="E5" s="11" t="s">
        <v>78</v>
      </c>
      <c r="F5" s="11">
        <v>298400</v>
      </c>
      <c r="G5" s="11">
        <v>45</v>
      </c>
      <c r="H5" s="11">
        <v>24867</v>
      </c>
      <c r="I5" s="11">
        <v>298400</v>
      </c>
      <c r="J5" s="11">
        <v>620000</v>
      </c>
    </row>
    <row r="6" spans="1:10" ht="15.75" customHeight="1" x14ac:dyDescent="0.2">
      <c r="A6" s="12">
        <v>3</v>
      </c>
      <c r="B6" s="12" t="s">
        <v>239</v>
      </c>
      <c r="C6" s="12" t="s">
        <v>10</v>
      </c>
      <c r="D6" s="12" t="s">
        <v>240</v>
      </c>
      <c r="E6" s="12" t="s">
        <v>78</v>
      </c>
      <c r="F6" s="12">
        <v>287200</v>
      </c>
      <c r="G6" s="12">
        <v>43</v>
      </c>
      <c r="H6" s="12">
        <v>23933</v>
      </c>
      <c r="I6" s="12">
        <v>287200</v>
      </c>
      <c r="J6" s="12">
        <v>580000</v>
      </c>
    </row>
    <row r="7" spans="1:10" ht="15.75" customHeight="1" x14ac:dyDescent="0.2">
      <c r="A7" s="11">
        <v>4</v>
      </c>
      <c r="B7" s="11" t="s">
        <v>241</v>
      </c>
      <c r="C7" s="11" t="s">
        <v>10</v>
      </c>
      <c r="D7" s="11" t="s">
        <v>242</v>
      </c>
      <c r="E7" s="11" t="s">
        <v>77</v>
      </c>
      <c r="F7" s="11">
        <v>274600</v>
      </c>
      <c r="G7" s="11">
        <v>41</v>
      </c>
      <c r="H7" s="11">
        <v>22883</v>
      </c>
      <c r="I7" s="11">
        <v>274600</v>
      </c>
      <c r="J7" s="11">
        <v>510000</v>
      </c>
    </row>
    <row r="8" spans="1:10" ht="15.75" customHeight="1" x14ac:dyDescent="0.2">
      <c r="A8" s="12">
        <v>5</v>
      </c>
      <c r="B8" s="12" t="s">
        <v>243</v>
      </c>
      <c r="C8" s="12" t="s">
        <v>10</v>
      </c>
      <c r="D8" s="12" t="s">
        <v>244</v>
      </c>
      <c r="E8" s="12" t="s">
        <v>79</v>
      </c>
      <c r="F8" s="12">
        <v>261300</v>
      </c>
      <c r="G8" s="12">
        <v>39</v>
      </c>
      <c r="H8" s="12">
        <v>21775</v>
      </c>
      <c r="I8" s="12">
        <v>261300</v>
      </c>
      <c r="J8" s="12">
        <v>490000</v>
      </c>
    </row>
    <row r="9" spans="1:10" ht="15.75" customHeight="1" x14ac:dyDescent="0.2">
      <c r="A9" s="11">
        <v>6</v>
      </c>
      <c r="B9" s="11" t="s">
        <v>245</v>
      </c>
      <c r="C9" s="11" t="s">
        <v>10</v>
      </c>
      <c r="D9" s="11" t="s">
        <v>246</v>
      </c>
      <c r="E9" s="11" t="s">
        <v>79</v>
      </c>
      <c r="F9" s="11">
        <v>248900</v>
      </c>
      <c r="G9" s="11">
        <v>37</v>
      </c>
      <c r="H9" s="11">
        <v>20742</v>
      </c>
      <c r="I9" s="11">
        <v>248900</v>
      </c>
      <c r="J9" s="11">
        <v>450000</v>
      </c>
    </row>
    <row r="10" spans="1:10" ht="15.75" customHeight="1" x14ac:dyDescent="0.2">
      <c r="A10" s="12">
        <v>7</v>
      </c>
      <c r="B10" s="12" t="s">
        <v>247</v>
      </c>
      <c r="C10" s="12" t="s">
        <v>10</v>
      </c>
      <c r="D10" s="12" t="s">
        <v>248</v>
      </c>
      <c r="E10" s="12" t="s">
        <v>78</v>
      </c>
      <c r="F10" s="12">
        <v>236400</v>
      </c>
      <c r="G10" s="12">
        <v>35</v>
      </c>
      <c r="H10" s="12">
        <v>19700</v>
      </c>
      <c r="I10" s="12">
        <v>236400</v>
      </c>
      <c r="J10" s="12">
        <v>430000</v>
      </c>
    </row>
    <row r="11" spans="1:10" ht="15.75" customHeight="1" x14ac:dyDescent="0.2">
      <c r="A11" s="11">
        <v>8</v>
      </c>
      <c r="B11" s="11" t="s">
        <v>249</v>
      </c>
      <c r="C11" s="11" t="s">
        <v>10</v>
      </c>
      <c r="D11" s="11" t="s">
        <v>250</v>
      </c>
      <c r="E11" s="11" t="s">
        <v>77</v>
      </c>
      <c r="F11" s="11">
        <v>223800</v>
      </c>
      <c r="G11" s="11">
        <v>33</v>
      </c>
      <c r="H11" s="11">
        <v>18650</v>
      </c>
      <c r="I11" s="11">
        <v>223800</v>
      </c>
      <c r="J11" s="11">
        <v>410000</v>
      </c>
    </row>
    <row r="12" spans="1:10" ht="15.75" customHeight="1" x14ac:dyDescent="0.2">
      <c r="A12" s="12">
        <v>9</v>
      </c>
      <c r="B12" s="12" t="s">
        <v>251</v>
      </c>
      <c r="C12" s="12" t="s">
        <v>10</v>
      </c>
      <c r="D12" s="12" t="s">
        <v>252</v>
      </c>
      <c r="E12" s="12" t="s">
        <v>77</v>
      </c>
      <c r="F12" s="12">
        <v>211200</v>
      </c>
      <c r="G12" s="12">
        <v>31</v>
      </c>
      <c r="H12" s="12">
        <v>17600</v>
      </c>
      <c r="I12" s="12">
        <v>211200</v>
      </c>
      <c r="J12" s="12">
        <v>380000</v>
      </c>
    </row>
    <row r="13" spans="1:10" ht="15.75" customHeight="1" x14ac:dyDescent="0.2">
      <c r="A13" s="11">
        <v>10</v>
      </c>
      <c r="B13" s="11" t="s">
        <v>253</v>
      </c>
      <c r="C13" s="11" t="s">
        <v>10</v>
      </c>
      <c r="D13" s="11" t="s">
        <v>254</v>
      </c>
      <c r="E13" s="11" t="s">
        <v>80</v>
      </c>
      <c r="F13" s="11">
        <v>198600</v>
      </c>
      <c r="G13" s="11">
        <v>29</v>
      </c>
      <c r="H13" s="11">
        <v>16550</v>
      </c>
      <c r="I13" s="11">
        <v>198600</v>
      </c>
      <c r="J13" s="11">
        <v>345000</v>
      </c>
    </row>
    <row r="14" spans="1:10" ht="15.75" customHeight="1" x14ac:dyDescent="0.2">
      <c r="A14" s="12">
        <v>11</v>
      </c>
      <c r="B14" s="12" t="s">
        <v>255</v>
      </c>
      <c r="C14" s="12" t="s">
        <v>10</v>
      </c>
      <c r="D14" s="12" t="s">
        <v>256</v>
      </c>
      <c r="E14" s="12" t="s">
        <v>78</v>
      </c>
      <c r="F14" s="12">
        <v>186000</v>
      </c>
      <c r="G14" s="12">
        <v>27</v>
      </c>
      <c r="H14" s="12">
        <v>15500</v>
      </c>
      <c r="I14" s="12">
        <v>186000</v>
      </c>
      <c r="J14" s="12">
        <v>325000</v>
      </c>
    </row>
    <row r="15" spans="1:10" ht="15.75" customHeight="1" x14ac:dyDescent="0.2">
      <c r="A15" s="11">
        <v>12</v>
      </c>
      <c r="B15" s="11" t="s">
        <v>257</v>
      </c>
      <c r="C15" s="11" t="s">
        <v>10</v>
      </c>
      <c r="D15" s="11" t="s">
        <v>258</v>
      </c>
      <c r="E15" s="11" t="s">
        <v>77</v>
      </c>
      <c r="F15" s="11">
        <v>173400</v>
      </c>
      <c r="G15" s="11">
        <v>25</v>
      </c>
      <c r="H15" s="11">
        <v>14450</v>
      </c>
      <c r="I15" s="11">
        <v>173400</v>
      </c>
      <c r="J15" s="11">
        <v>298000</v>
      </c>
    </row>
    <row r="16" spans="1:10" ht="15.75" customHeight="1" x14ac:dyDescent="0.2">
      <c r="A16" s="12">
        <v>13</v>
      </c>
      <c r="B16" s="12" t="s">
        <v>259</v>
      </c>
      <c r="C16" s="12" t="s">
        <v>15</v>
      </c>
      <c r="D16" s="12" t="s">
        <v>260</v>
      </c>
      <c r="E16" s="12" t="s">
        <v>80</v>
      </c>
      <c r="F16" s="12">
        <v>160800</v>
      </c>
      <c r="G16" s="12">
        <v>23</v>
      </c>
      <c r="H16" s="12">
        <v>13400</v>
      </c>
      <c r="I16" s="12">
        <v>160800</v>
      </c>
      <c r="J16" s="12">
        <v>260000</v>
      </c>
    </row>
    <row r="17" spans="1:10" ht="15.75" customHeight="1" x14ac:dyDescent="0.2">
      <c r="A17" s="11">
        <v>14</v>
      </c>
      <c r="B17" s="11" t="s">
        <v>261</v>
      </c>
      <c r="C17" s="11" t="s">
        <v>10</v>
      </c>
      <c r="D17" s="11" t="s">
        <v>262</v>
      </c>
      <c r="E17" s="11" t="s">
        <v>81</v>
      </c>
      <c r="F17" s="11">
        <v>148200</v>
      </c>
      <c r="G17" s="11">
        <v>21</v>
      </c>
      <c r="H17" s="11">
        <v>12350</v>
      </c>
      <c r="I17" s="11">
        <v>148200</v>
      </c>
      <c r="J17" s="11">
        <v>230000</v>
      </c>
    </row>
    <row r="18" spans="1:10" ht="15.75" customHeight="1" x14ac:dyDescent="0.2">
      <c r="A18" s="12">
        <v>15</v>
      </c>
      <c r="B18" s="12" t="s">
        <v>263</v>
      </c>
      <c r="C18" s="12" t="s">
        <v>10</v>
      </c>
      <c r="D18" s="12" t="s">
        <v>264</v>
      </c>
      <c r="E18" s="12" t="s">
        <v>83</v>
      </c>
      <c r="F18" s="12">
        <v>135600</v>
      </c>
      <c r="G18" s="12">
        <v>19</v>
      </c>
      <c r="H18" s="12">
        <v>11300</v>
      </c>
      <c r="I18" s="12">
        <v>135600</v>
      </c>
      <c r="J18" s="12">
        <v>210000</v>
      </c>
    </row>
    <row r="19" spans="1:10" ht="15.75" customHeight="1" x14ac:dyDescent="0.2">
      <c r="A19" s="11">
        <v>16</v>
      </c>
      <c r="B19" s="11" t="s">
        <v>265</v>
      </c>
      <c r="C19" s="11" t="s">
        <v>10</v>
      </c>
      <c r="D19" s="11" t="s">
        <v>266</v>
      </c>
      <c r="E19" s="11" t="s">
        <v>82</v>
      </c>
      <c r="F19" s="11">
        <v>123000</v>
      </c>
      <c r="G19" s="11">
        <v>17</v>
      </c>
      <c r="H19" s="11">
        <v>10250</v>
      </c>
      <c r="I19" s="11">
        <v>123000</v>
      </c>
      <c r="J19" s="11">
        <v>185000</v>
      </c>
    </row>
    <row r="20" spans="1:10" ht="15.75" customHeight="1" x14ac:dyDescent="0.2">
      <c r="A20" s="12">
        <v>17</v>
      </c>
      <c r="B20" s="12" t="s">
        <v>267</v>
      </c>
      <c r="C20" s="12" t="s">
        <v>10</v>
      </c>
      <c r="D20" s="12" t="s">
        <v>268</v>
      </c>
      <c r="E20" s="12" t="s">
        <v>78</v>
      </c>
      <c r="F20" s="12">
        <v>110400</v>
      </c>
      <c r="G20" s="12">
        <v>15</v>
      </c>
      <c r="H20" s="12">
        <v>9200</v>
      </c>
      <c r="I20" s="12">
        <v>110400</v>
      </c>
      <c r="J20" s="12">
        <v>175000</v>
      </c>
    </row>
    <row r="21" spans="1:10" ht="15.75" customHeight="1" x14ac:dyDescent="0.2">
      <c r="A21" s="11">
        <v>18</v>
      </c>
      <c r="B21" s="11" t="s">
        <v>269</v>
      </c>
      <c r="C21" s="11" t="s">
        <v>10</v>
      </c>
      <c r="D21" s="11" t="s">
        <v>270</v>
      </c>
      <c r="E21" s="11" t="s">
        <v>84</v>
      </c>
      <c r="F21" s="11">
        <v>97800</v>
      </c>
      <c r="G21" s="11">
        <v>13</v>
      </c>
      <c r="H21" s="11">
        <v>8150</v>
      </c>
      <c r="I21" s="11">
        <v>97800</v>
      </c>
      <c r="J21" s="11">
        <v>165000</v>
      </c>
    </row>
    <row r="22" spans="1:10" ht="15.75" customHeight="1" x14ac:dyDescent="0.2">
      <c r="A22" s="12">
        <v>19</v>
      </c>
      <c r="B22" s="12" t="s">
        <v>271</v>
      </c>
      <c r="C22" s="12" t="s">
        <v>10</v>
      </c>
      <c r="D22" s="12" t="s">
        <v>272</v>
      </c>
      <c r="E22" s="12" t="s">
        <v>83</v>
      </c>
      <c r="F22" s="12">
        <v>85200</v>
      </c>
      <c r="G22" s="12">
        <v>11</v>
      </c>
      <c r="H22" s="12">
        <v>7100</v>
      </c>
      <c r="I22" s="12">
        <v>85200</v>
      </c>
      <c r="J22" s="12">
        <v>150000</v>
      </c>
    </row>
    <row r="23" spans="1:10" ht="15.75" customHeight="1" x14ac:dyDescent="0.2">
      <c r="A23" s="11">
        <v>20</v>
      </c>
      <c r="B23" s="11" t="s">
        <v>273</v>
      </c>
      <c r="C23" s="11" t="s">
        <v>10</v>
      </c>
      <c r="D23" s="11" t="s">
        <v>274</v>
      </c>
      <c r="E23" s="11" t="s">
        <v>81</v>
      </c>
      <c r="F23" s="11">
        <v>72600</v>
      </c>
      <c r="G23" s="11">
        <v>9</v>
      </c>
      <c r="H23" s="11">
        <v>6050</v>
      </c>
      <c r="I23" s="11">
        <v>72600</v>
      </c>
      <c r="J23" s="11">
        <v>138000</v>
      </c>
    </row>
  </sheetData>
  <mergeCells count="2">
    <mergeCell ref="A1:J1"/>
    <mergeCell ref="A2:J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Executive Summary</vt:lpstr>
      <vt:lpstr>MoM Growth</vt:lpstr>
      <vt:lpstr>Customer Segments</vt:lpstr>
      <vt:lpstr>Churn Report</vt:lpstr>
      <vt:lpstr>Branch Performance</vt:lpstr>
      <vt:lpstr>Cohort Heatmap</vt:lpstr>
      <vt:lpstr>Top Customers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Maahir Behal</cp:lastModifiedBy>
  <cp:revision>1</cp:revision>
  <dcterms:created xsi:type="dcterms:W3CDTF">2026-05-21T03:51:39Z</dcterms:created>
  <dcterms:modified xsi:type="dcterms:W3CDTF">2026-05-30T04:27:41Z</dcterms:modified>
  <dc:language>en-US</dc:language>
</cp:coreProperties>
</file>