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MoM Growth" sheetId="2" state="visible" r:id="rId4"/>
    <sheet name="Customer Segments" sheetId="3" state="visible" r:id="rId5"/>
    <sheet name="Churn Report" sheetId="4" state="visible" r:id="rId6"/>
    <sheet name="Branch Performance" sheetId="5" state="visible" r:id="rId7"/>
    <sheet name="Cohort Heatmap" sheetId="6" state="visible" r:id="rId8"/>
    <sheet name="Top Customer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<sst xmlns="http://schemas.openxmlformats.org/spreadsheetml/2006/main" count="468" uniqueCount="276">
  <si>
    <t xml:space="preserve">FINANCIAL CUSTOMER ANALYTICS SYSTEM — EXECUTIVE SUMMARY</t>
  </si>
  <si>
    <t xml:space="preserve">Portfolio snapshot | MySQL + Excel Analytics Project | 100 Customers · 10 Branches · 600+ Transactions</t>
  </si>
  <si>
    <t xml:space="preserve">KEY PERFORMANCE INDICATORS</t>
  </si>
  <si>
    <t xml:space="preserve">CUSTOMER SEGMENT BREAKDOWN</t>
  </si>
  <si>
    <t xml:space="preserve">Segment</t>
  </si>
  <si>
    <t xml:space="preserve">Customers</t>
  </si>
  <si>
    <t xml:space="preserve">Avg Annual Income</t>
  </si>
  <si>
    <t xml:space="preserve">Avg Balance</t>
  </si>
  <si>
    <t xml:space="preserve">Total Deposits</t>
  </si>
  <si>
    <t xml:space="preserve">Premium Loans</t>
  </si>
  <si>
    <t xml:space="preserve">% of Portfolio</t>
  </si>
  <si>
    <t xml:space="preserve">Premium</t>
  </si>
  <si>
    <t xml:space="preserve">$152,143</t>
  </si>
  <si>
    <t xml:space="preserve">$118,507</t>
  </si>
  <si>
    <t xml:space="preserve">$3,318,196</t>
  </si>
  <si>
    <t xml:space="preserve">39.4%</t>
  </si>
  <si>
    <t xml:space="preserve">Standard</t>
  </si>
  <si>
    <t xml:space="preserve">$77,647</t>
  </si>
  <si>
    <t xml:space="preserve">$14,891</t>
  </si>
  <si>
    <t xml:space="preserve">$759,441</t>
  </si>
  <si>
    <t xml:space="preserve">9.0%</t>
  </si>
  <si>
    <t xml:space="preserve">Basic</t>
  </si>
  <si>
    <t xml:space="preserve">$31,619</t>
  </si>
  <si>
    <t xml:space="preserve">$3,207</t>
  </si>
  <si>
    <t xml:space="preserve">$67,347</t>
  </si>
  <si>
    <t xml:space="preserve">0.8%</t>
  </si>
  <si>
    <t xml:space="preserve">KEY INSIGHTS</t>
  </si>
  <si>
    <t xml:space="preserve">▶  Premium customers (28% of base) hold 39% of all deposits — highest retention priority tier.</t>
  </si>
  <si>
    <t xml:space="preserve">▶  Trigger auto-flagged large transactions (&gt;$10,000) into the alerts table in real time.</t>
  </si>
  <si>
    <t xml:space="preserve">▶  1 customer flagged Delinquent in the stored procedure risk report — outstanding loan under review.</t>
  </si>
  <si>
    <t xml:space="preserve">▶  Cohort heatmap shows Month-0 cohorts retain at 80–85%; drops to ~40% by Month 6 — industry-typical.</t>
  </si>
  <si>
    <t xml:space="preserve">CUSTOMERS
100
Active in portfolio</t>
  </si>
  <si>
    <t xml:space="preserve">TRANSACTION VOL
$1,247,380
All completed transactions</t>
  </si>
  <si>
    <t xml:space="preserve">DEPOSITS (AUM)
$8,432,190
Sum of all balances</t>
  </si>
  <si>
    <t xml:space="preserve">LOAN BOOK
$9,651,200
Outstanding principal</t>
  </si>
  <si>
    <t xml:space="preserve">Month-over-Month Revenue Growth</t>
  </si>
  <si>
    <t xml:space="preserve">Monthly transaction revenue · MoM growth % · 3-month rolling average · Cumulative total</t>
  </si>
  <si>
    <t xml:space="preserve">Month</t>
  </si>
  <si>
    <t xml:space="preserve">Revenue ($)</t>
  </si>
  <si>
    <t xml:space="preserve">Transactions</t>
  </si>
  <si>
    <t xml:space="preserve">Unique Customers</t>
  </si>
  <si>
    <t xml:space="preserve">Prev Month ($)</t>
  </si>
  <si>
    <t xml:space="preserve">MoM Growth %</t>
  </si>
  <si>
    <t xml:space="preserve">3M Rolling Avg ($)</t>
  </si>
  <si>
    <t xml:space="preserve">Cumulative ($)</t>
  </si>
  <si>
    <t xml:space="preserve">2021-01</t>
  </si>
  <si>
    <t xml:space="preserve">-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</si>
  <si>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</si>
  <si>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</si>
  <si>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</si>
  <si>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</si>
  <si>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</si>
  <si>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</si>
  <si>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</si>
  <si>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</si>
  <si>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</si>
  <si>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</si>
  <si>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</si>
  <si>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</si>
  <si>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</si>
  <si>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</si>
  <si>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</si>
  <si>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</si>
  <si>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</si>
  <si>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</si>
  <si>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</si>
  <si>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</si>
  <si>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</si>
  <si>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</si>
  <si>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</si>
  <si>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Customer Segment Analysis</t>
  </si>
  <si>
    <t xml:space="preserve">Breakdown by segment and state · Income · Balance · Spend</t>
  </si>
  <si>
    <t xml:space="preserve">State</t>
  </si>
  <si>
    <t xml:space="preserve">Avg Income ($)</t>
  </si>
  <si>
    <t xml:space="preserve">Avg Balance ($)</t>
  </si>
  <si>
    <t xml:space="preserve">Total Balance ($)</t>
  </si>
  <si>
    <t xml:space="preserve">Total Spend ($)</t>
  </si>
  <si>
    <t xml:space="preserve">Avg Txn ($)</t>
  </si>
  <si>
    <t xml:space="preserve">NY</t>
  </si>
  <si>
    <t xml:space="preserve">CA</t>
  </si>
  <si>
    <t xml:space="preserve">TX</t>
  </si>
  <si>
    <t xml:space="preserve">MA</t>
  </si>
  <si>
    <t xml:space="preserve">WA</t>
  </si>
  <si>
    <t xml:space="preserve">IL</t>
  </si>
  <si>
    <t xml:space="preserve">GA</t>
  </si>
  <si>
    <t xml:space="preserve">AZ</t>
  </si>
  <si>
    <t xml:space="preserve">Customer Churn Risk Report</t>
  </si>
  <si>
    <t xml:space="preserve">Customers flagged by days since last transaction · High / Medium / Low risk classification</t>
  </si>
  <si>
    <t xml:space="preserve">HIGH RISK
8 Customers
365+ days inactive</t>
  </si>
  <si>
    <t xml:space="preserve">MEDIUM RISK
14 Customers
180–365 days</t>
  </si>
  <si>
    <t xml:space="preserve">LOW RISK
19 Customers
90–180 days</t>
  </si>
  <si>
    <t xml:space="preserve">ID</t>
  </si>
  <si>
    <t xml:space="preserve">Customer Name</t>
  </si>
  <si>
    <t xml:space="preserve">Email</t>
  </si>
  <si>
    <t xml:space="preserve">City</t>
  </si>
  <si>
    <t xml:space="preserve">Last Transaction</t>
  </si>
  <si>
    <t xml:space="preserve">Days Inactive</t>
  </si>
  <si>
    <t xml:space="preserve">Balance ($)</t>
  </si>
  <si>
    <t xml:space="preserve">Risk Level</t>
  </si>
  <si>
    <t xml:space="preserve">Daniel Harris</t>
  </si>
  <si>
    <t xml:space="preserve">daniel.harris@email.com</t>
  </si>
  <si>
    <t xml:space="preserve">Phoenix</t>
  </si>
  <si>
    <t xml:space="preserve">2020-08-15</t>
  </si>
  <si>
    <t xml:space="preserve">High Risk</t>
  </si>
  <si>
    <t xml:space="preserve">Sandra Hall</t>
  </si>
  <si>
    <t xml:space="preserve">sandra.hall@email.com</t>
  </si>
  <si>
    <t xml:space="preserve">New York</t>
  </si>
  <si>
    <t xml:space="preserve">2020-12-03</t>
  </si>
  <si>
    <t xml:space="preserve">Susan Martin</t>
  </si>
  <si>
    <t xml:space="preserve">susan.martin@email.com</t>
  </si>
  <si>
    <t xml:space="preserve">Boston</t>
  </si>
  <si>
    <t xml:space="preserve">2021-03-12</t>
  </si>
  <si>
    <t xml:space="preserve">Amanda Evans</t>
  </si>
  <si>
    <t xml:space="preserve">amanda.evans@email.com</t>
  </si>
  <si>
    <t xml:space="preserve">Los Angeles</t>
  </si>
  <si>
    <t xml:space="preserve">2021-05-22</t>
  </si>
  <si>
    <t xml:space="preserve">Betty Young</t>
  </si>
  <si>
    <t xml:space="preserve">betty.young@email.com</t>
  </si>
  <si>
    <t xml:space="preserve">2021-09-10</t>
  </si>
  <si>
    <t xml:space="preserve">Ashley Turner</t>
  </si>
  <si>
    <t xml:space="preserve">ashley.turner@email.com</t>
  </si>
  <si>
    <t xml:space="preserve">Seattle</t>
  </si>
  <si>
    <t xml:space="preserve">2021-11-18</t>
  </si>
  <si>
    <t xml:space="preserve">Samantha Morgan</t>
  </si>
  <si>
    <t xml:space="preserve">samantha.morgan@email.com</t>
  </si>
  <si>
    <t xml:space="preserve">Atlanta</t>
  </si>
  <si>
    <t xml:space="preserve">2022-02-04</t>
  </si>
  <si>
    <t xml:space="preserve">Amanda James</t>
  </si>
  <si>
    <t xml:space="preserve">amanda.james@email.com</t>
  </si>
  <si>
    <t xml:space="preserve">Chicago</t>
  </si>
  <si>
    <t xml:space="preserve">2022-04-20</t>
  </si>
  <si>
    <t xml:space="preserve">Robert Brown</t>
  </si>
  <si>
    <t xml:space="preserve">robert.brown@email.com</t>
  </si>
  <si>
    <t xml:space="preserve">2023-01-05</t>
  </si>
  <si>
    <t xml:space="preserve">Medium Risk</t>
  </si>
  <si>
    <t xml:space="preserve">Patricia Moore</t>
  </si>
  <si>
    <t xml:space="preserve">patricia.moore@email.com</t>
  </si>
  <si>
    <t xml:space="preserve">Houston</t>
  </si>
  <si>
    <t xml:space="preserve">2023-02-14</t>
  </si>
  <si>
    <t xml:space="preserve">Susan Martin B</t>
  </si>
  <si>
    <t xml:space="preserve">susan.martinb@email.com</t>
  </si>
  <si>
    <t xml:space="preserve">2023-03-08</t>
  </si>
  <si>
    <t xml:space="preserve">Dorothy Lee</t>
  </si>
  <si>
    <t xml:space="preserve">dorothy.lee@email.com</t>
  </si>
  <si>
    <t xml:space="preserve">2023-04-22</t>
  </si>
  <si>
    <t xml:space="preserve">Edward Wright</t>
  </si>
  <si>
    <t xml:space="preserve">edward.wright@email.com</t>
  </si>
  <si>
    <t xml:space="preserve">2023-05-11</t>
  </si>
  <si>
    <t xml:space="preserve">Ronald Baker</t>
  </si>
  <si>
    <t xml:space="preserve">ronald.baker@email.com</t>
  </si>
  <si>
    <t xml:space="preserve">2023-06-30</t>
  </si>
  <si>
    <t xml:space="preserve">Lisa Carter</t>
  </si>
  <si>
    <t xml:space="preserve">lisa.carter@email.com</t>
  </si>
  <si>
    <t xml:space="preserve">2023-07-14</t>
  </si>
  <si>
    <t xml:space="preserve">Kimberly Campbell</t>
  </si>
  <si>
    <t xml:space="preserve">kimberly.campbell@email.com</t>
  </si>
  <si>
    <t xml:space="preserve">2023-08-05</t>
  </si>
  <si>
    <t xml:space="preserve">Gregory Rogers</t>
  </si>
  <si>
    <t xml:space="preserve">gregory.rogers@email.com</t>
  </si>
  <si>
    <t xml:space="preserve">2023-09-22</t>
  </si>
  <si>
    <t xml:space="preserve">Frank Cook</t>
  </si>
  <si>
    <t xml:space="preserve">frank.cook@email.com</t>
  </si>
  <si>
    <t xml:space="preserve">2023-10-08</t>
  </si>
  <si>
    <t xml:space="preserve">Sarah Thompson</t>
  </si>
  <si>
    <t xml:space="preserve">sarah.thompson@email.com</t>
  </si>
  <si>
    <t xml:space="preserve">2023-11-18</t>
  </si>
  <si>
    <t xml:space="preserve">Low Risk</t>
  </si>
  <si>
    <t xml:space="preserve">Linda Davis</t>
  </si>
  <si>
    <t xml:space="preserve">linda.davis@email.com</t>
  </si>
  <si>
    <t xml:space="preserve">2023-12-01</t>
  </si>
  <si>
    <t xml:space="preserve">Charles Taylor</t>
  </si>
  <si>
    <t xml:space="preserve">charles.taylor@email.com</t>
  </si>
  <si>
    <t xml:space="preserve">2024-01-10</t>
  </si>
  <si>
    <t xml:space="preserve">Nancy White</t>
  </si>
  <si>
    <t xml:space="preserve">nancy.white@email.com</t>
  </si>
  <si>
    <t xml:space="preserve">2024-02-04</t>
  </si>
  <si>
    <t xml:space="preserve">Kenneth Allen</t>
  </si>
  <si>
    <t xml:space="preserve">kenneth.allen@email.com</t>
  </si>
  <si>
    <t xml:space="preserve">2024-03-15</t>
  </si>
  <si>
    <t xml:space="preserve">Carol Scott</t>
  </si>
  <si>
    <t xml:space="preserve">carol.scott@email.com</t>
  </si>
  <si>
    <t xml:space="preserve">2024-04-08</t>
  </si>
  <si>
    <t xml:space="preserve">Branch Performance Report</t>
  </si>
  <si>
    <t xml:space="preserve">Revenue · customer count · transactions · revenue per staff member · ranked by total revenue</t>
  </si>
  <si>
    <t xml:space="preserve">Rank</t>
  </si>
  <si>
    <t xml:space="preserve">Branch Name</t>
  </si>
  <si>
    <t xml:space="preserve">Region</t>
  </si>
  <si>
    <t xml:space="preserve">Staff</t>
  </si>
  <si>
    <t xml:space="preserve">Rev / Staff ($)</t>
  </si>
  <si>
    <t xml:space="preserve">West Coast HQ</t>
  </si>
  <si>
    <t xml:space="preserve">West</t>
  </si>
  <si>
    <t xml:space="preserve">Silicon Valley Branch</t>
  </si>
  <si>
    <t xml:space="preserve">San Francisco</t>
  </si>
  <si>
    <t xml:space="preserve">Downtown Financial Centre</t>
  </si>
  <si>
    <t xml:space="preserve">East</t>
  </si>
  <si>
    <t xml:space="preserve">Texas Financial Hub</t>
  </si>
  <si>
    <t xml:space="preserve">South</t>
  </si>
  <si>
    <t xml:space="preserve">Chicago Central</t>
  </si>
  <si>
    <t xml:space="preserve">Central</t>
  </si>
  <si>
    <t xml:space="preserve">Seattle Tech Hub</t>
  </si>
  <si>
    <t xml:space="preserve">Boston Academic District</t>
  </si>
  <si>
    <t xml:space="preserve">Midtown Business Hub</t>
  </si>
  <si>
    <t xml:space="preserve">Atlanta Business Centre</t>
  </si>
  <si>
    <t xml:space="preserve">Phoenix Desert Branch</t>
  </si>
  <si>
    <t xml:space="preserve">Customer Cohort Retention Heatmap</t>
  </si>
  <si>
    <t xml:space="preserve">Rows = signup cohort month  ·  Columns = months since first transaction  ·  Values = % of cohort still active</t>
  </si>
  <si>
    <t xml:space="preserve">Cohort</t>
  </si>
  <si>
    <t xml:space="preserve">M+0</t>
  </si>
  <si>
    <t xml:space="preserve">M+1</t>
  </si>
  <si>
    <t xml:space="preserve">M+2</t>
  </si>
  <si>
    <t xml:space="preserve">M+3</t>
  </si>
  <si>
    <t xml:space="preserve">M+4</t>
  </si>
  <si>
    <t xml:space="preserve">M+5</t>
  </si>
  <si>
    <t xml:space="preserve">M+6</t>
  </si>
  <si>
    <t xml:space="preserve">M+7</t>
  </si>
  <si>
    <t xml:space="preserve">M+8</t>
  </si>
  <si>
    <t xml:space="preserve">M+9</t>
  </si>
  <si>
    <t xml:space="preserve">M+10</t>
  </si>
  <si>
    <t xml:space="preserve">M+11</t>
  </si>
  <si>
    <t xml:space="preserve">M+12</t>
  </si>
  <si>
    <t xml:space="preserve">2023-01</t>
  </si>
  <si>
    <t xml:space="preserve">2023-04</t>
  </si>
  <si>
    <t xml:space="preserve">2023-07</t>
  </si>
  <si>
    <t xml:space="preserve">2023-10</t>
  </si>
  <si>
    <t xml:space="preserve">Colour scale:</t>
  </si>
  <si>
    <t xml:space="preserve">80–100%</t>
  </si>
  <si>
    <t xml:space="preserve">60–79%</t>
  </si>
  <si>
    <t xml:space="preserve">40–59%</t>
  </si>
  <si>
    <t xml:space="preserve">20–39%</t>
  </si>
  <si>
    <t xml:space="preserve">&lt; 20%</t>
  </si>
  <si>
    <t xml:space="preserve">Top 20 Customers by Projected 12-Month CLV</t>
  </si>
  <si>
    <t xml:space="preserve">Ranked by projected Customer Lifetime Value based on average monthly transaction spend</t>
  </si>
  <si>
    <t xml:space="preserve">Name</t>
  </si>
  <si>
    <t xml:space="preserve">Occupation</t>
  </si>
  <si>
    <t xml:space="preserve">Avg Monthly ($)</t>
  </si>
  <si>
    <t xml:space="preserve">Proj 12M CLV ($)</t>
  </si>
  <si>
    <t xml:space="preserve">Billy Hayes</t>
  </si>
  <si>
    <t xml:space="preserve">Real Estate Developer</t>
  </si>
  <si>
    <t xml:space="preserve">Justin Edwards</t>
  </si>
  <si>
    <t xml:space="preserve">Venture Capitalist</t>
  </si>
  <si>
    <t xml:space="preserve">Eugene Graham</t>
  </si>
  <si>
    <t xml:space="preserve">Quantitative Analyst</t>
  </si>
  <si>
    <t xml:space="preserve">Steven Walker</t>
  </si>
  <si>
    <t xml:space="preserve">Investment Banker</t>
  </si>
  <si>
    <t xml:space="preserve">Thomas Wilson</t>
  </si>
  <si>
    <t xml:space="preserve">Oil Engineer</t>
  </si>
  <si>
    <t xml:space="preserve">Aaron Cole</t>
  </si>
  <si>
    <t xml:space="preserve">Petroleum Geologist</t>
  </si>
  <si>
    <t xml:space="preserve">Arthur Peterson</t>
  </si>
  <si>
    <t xml:space="preserve">Hedge Fund Manager</t>
  </si>
  <si>
    <t xml:space="preserve">Wayne Coleman</t>
  </si>
  <si>
    <t xml:space="preserve">Business Owner</t>
  </si>
  <si>
    <t xml:space="preserve">Gary Phillips</t>
  </si>
  <si>
    <t xml:space="preserve">Portfolio Manager</t>
  </si>
  <si>
    <t xml:space="preserve">Kevin Mitchell</t>
  </si>
  <si>
    <t xml:space="preserve">Surgeon</t>
  </si>
  <si>
    <t xml:space="preserve">David Johnson</t>
  </si>
  <si>
    <t xml:space="preserve">Product Manager</t>
  </si>
  <si>
    <t xml:space="preserve">James Anderson</t>
  </si>
  <si>
    <t xml:space="preserve">Software Engineer</t>
  </si>
  <si>
    <t xml:space="preserve">Patrick Bailey</t>
  </si>
  <si>
    <t xml:space="preserve">Civil Engineer</t>
  </si>
  <si>
    <t xml:space="preserve">Walter Cooper</t>
  </si>
  <si>
    <t xml:space="preserve">Software Architect</t>
  </si>
  <si>
    <t xml:space="preserve">Barbara Jackson</t>
  </si>
  <si>
    <t xml:space="preserve">Lawyer</t>
  </si>
  <si>
    <t xml:space="preserve">Rebecca Morris</t>
  </si>
  <si>
    <t xml:space="preserve">Architect</t>
  </si>
  <si>
    <t xml:space="preserve">Michael Garcia</t>
  </si>
  <si>
    <t xml:space="preserve">Financial Analyst</t>
  </si>
  <si>
    <t xml:space="preserve">Brenda Bennett</t>
  </si>
  <si>
    <t xml:space="preserve">Radiologist</t>
  </si>
  <si>
    <t xml:space="preserve">Larry Kelly</t>
  </si>
  <si>
    <t xml:space="preserve">Pilot</t>
  </si>
  <si>
    <t xml:space="preserve">Virginia Richardson</t>
  </si>
  <si>
    <t xml:space="preserve">Data Engineer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</si>
</sst>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D6D6D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C2C2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B3A6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2C2C2C"/>
      <name val="Arial"/>
      <family val="0"/>
      <charset val="1"/>
    </font>
    <font>
      <b val="true"/>
      <sz val="9"/>
      <color rgb="FF2C2C2C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D6E4F0"/>
        <bgColor rgb="FFD6EAF8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EBF5FB"/>
      </patternFill>
    </fill>
    <fill>
      <patternFill patternType="solid">
        <fgColor rgb="FFEBF5FB"/>
        <bgColor rgb="FFEAFAF1"/>
      </patternFill>
    </fill>
    <fill>
      <patternFill patternType="solid">
        <fgColor rgb="FFD6EAF8"/>
        <bgColor rgb="FFD6E4F0"/>
      </patternFill>
    </fill>
    <fill>
      <patternFill patternType="solid">
        <fgColor rgb="FFEAFAF1"/>
        <bgColor rgb="FFEBF5FB"/>
      </patternFill>
    </fill>
    <fill>
      <patternFill patternType="solid">
        <fgColor rgb="FFFEF9E7"/>
        <bgColor rgb="FFFEF5E7"/>
      </patternFill>
    </fill>
    <fill>
      <patternFill patternType="solid">
        <fgColor rgb="FFC0392B"/>
        <bgColor rgb="FFC0504D"/>
      </patternFill>
    </fill>
    <fill>
      <patternFill patternType="solid">
        <fgColor rgb="FFE67E22"/>
        <bgColor rgb="FFFF9900"/>
      </patternFill>
    </fill>
    <fill>
      <patternFill patternType="solid">
        <fgColor rgb="FFB7950B"/>
        <bgColor rgb="FFC9A84C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EF5E7"/>
      </patternFill>
    </fill>
    <fill>
      <patternFill patternType="solid">
        <fgColor rgb="FFFEF5E7"/>
        <bgColor rgb="FFFEF9E7"/>
      </patternFill>
    </fill>
    <fill>
      <patternFill patternType="solid">
        <fgColor rgb="FF1F618D"/>
        <bgColor rgb="FF1E7145"/>
      </patternFill>
    </fill>
    <fill>
      <patternFill patternType="solid">
        <fgColor rgb="FFDDDDDD"/>
        <bgColor rgb="FFD9D9D9"/>
      </patternFill>
    </fill>
    <fill>
      <patternFill patternType="solid">
        <fgColor rgb="FF1E7145"/>
        <bgColor rgb="FF1F618D"/>
      </patternFill>
    </fill>
    <fill>
      <patternFill patternType="solid">
        <fgColor rgb="FF27AE60"/>
        <bgColor rgb="FF008080"/>
      </patternFill>
    </fill>
    <fill>
      <patternFill patternType="solid">
        <fgColor rgb="FFF9E79F"/>
        <bgColor rgb="FFFDEBD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5E7"/>
      <rgbColor rgb="FFFF00FF"/>
      <rgbColor rgb="FF00FFFF"/>
      <rgbColor rgb="FF800000"/>
      <rgbColor rgb="FF008000"/>
      <rgbColor rgb="FF000080"/>
      <rgbColor rgb="FFB7950B"/>
      <rgbColor rgb="FF800080"/>
      <rgbColor rgb="FF1E7145"/>
      <rgbColor rgb="FFCCCCCC"/>
      <rgbColor rgb="FF878787"/>
      <rgbColor rgb="FF9999FF"/>
      <rgbColor rgb="FFC0504D"/>
      <rgbColor rgb="FFFEF9E7"/>
      <rgbColor rgb="FFD6EAF8"/>
      <rgbColor rgb="FF660066"/>
      <rgbColor rgb="FFFF8080"/>
      <rgbColor rgb="FF1F618D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AFAF1"/>
      <rgbColor rgb="FFEBF5FB"/>
      <rgbColor rgb="FFF9E79F"/>
      <rgbColor rgb="FFD6E4F0"/>
      <rgbColor rgb="FFFDEBD0"/>
      <rgbColor rgb="FFDDDDDD"/>
      <rgbColor rgb="FFFADBD8"/>
      <rgbColor rgb="FF4F81BD"/>
      <rgbColor rgb="FF33CCCC"/>
      <rgbColor rgb="FF9BBB59"/>
      <rgbColor rgb="FFF9F9F9"/>
      <rgbColor rgb="FFFF9900"/>
      <rgbColor rgb="FFE67E22"/>
      <rgbColor rgb="FF6D6D6D"/>
      <rgbColor rgb="FFC9A84C"/>
      <rgbColor rgb="FF1B3A6B"/>
      <rgbColor rgb="FF27AE60"/>
      <rgbColor rgb="FF003300"/>
      <rgbColor rgb="FF333300"/>
      <rgbColor rgb="FFC0392B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'MoM Growth'!B3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1b3a6b"/>
            </a:solidFill>
            <a:ln w="20160">
              <a:solidFill>
                <a:srgbClr val="1b3a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'MoM Growth'!$A$4:$A$27</c:f>
              <c:strCache>
                <c:ptCount val="24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</c:strCache>
            </c:strRef>
          </c:cat>
          <c:val>
            <c:numRef>
              <c:f>'MoM Growth'!$B$4:$B$27</c:f>
              <c:numCache>
                <c:formatCode>General</c:formatCode>
                <c:ptCount val="24"/>
                <c:pt idx="0">
                  <c:v>42300</c:v>
                </c:pt>
                <c:pt idx="1">
                  <c:v>38900</c:v>
                </c:pt>
                <c:pt idx="2">
                  <c:v>51200</c:v>
                </c:pt>
                <c:pt idx="3">
                  <c:v>47800</c:v>
                </c:pt>
                <c:pt idx="4">
                  <c:v>53400</c:v>
                </c:pt>
                <c:pt idx="5">
                  <c:v>61200</c:v>
                </c:pt>
                <c:pt idx="6">
                  <c:v>58700</c:v>
                </c:pt>
                <c:pt idx="7">
                  <c:v>65400</c:v>
                </c:pt>
                <c:pt idx="8">
                  <c:v>72100</c:v>
                </c:pt>
                <c:pt idx="9">
                  <c:v>68900</c:v>
                </c:pt>
                <c:pt idx="10">
                  <c:v>74300</c:v>
                </c:pt>
                <c:pt idx="11">
                  <c:v>82500</c:v>
                </c:pt>
                <c:pt idx="12">
                  <c:v>79200</c:v>
                </c:pt>
                <c:pt idx="13">
                  <c:v>85600</c:v>
                </c:pt>
                <c:pt idx="14">
                  <c:v>91300</c:v>
                </c:pt>
                <c:pt idx="15">
                  <c:v>88700</c:v>
                </c:pt>
                <c:pt idx="16">
                  <c:v>96400</c:v>
                </c:pt>
                <c:pt idx="17">
                  <c:v>103200</c:v>
                </c:pt>
                <c:pt idx="18">
                  <c:v>98700</c:v>
                </c:pt>
                <c:pt idx="19">
                  <c:v>107400</c:v>
                </c:pt>
                <c:pt idx="20">
                  <c:v>115600</c:v>
                </c:pt>
                <c:pt idx="21">
                  <c:v>112300</c:v>
                </c:pt>
                <c:pt idx="22">
                  <c:v>121800</c:v>
                </c:pt>
                <c:pt idx="23">
                  <c:v>131400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'MoM Growth'!G3</c:f>
              <c:strCache>
                <c:ptCount val="1"/>
                <c:pt idx="0">
                  <c:v>3M Rolling Avg ($)</c:v>
                </c:pt>
              </c:strCache>
            </c:strRef>
          </c:tx>
          <c:spPr>
            <a:solidFill>
              <a:srgbClr val="c9a84c"/>
            </a:solidFill>
            <a:ln w="1512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'MoM Growth'!$A$4:$A$27</c:f>
              <c:strCache>
                <c:ptCount val="24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</c:strCache>
            </c:strRef>
          </c:cat>
          <c:val>
            <c:numRef>
              <c:f>'MoM Growth'!$G$4:$G$27</c:f>
              <c:numCache>
                <c:formatCode>General</c:formatCode>
                <c:ptCount val="24"/>
                <c:pt idx="0">
                  <c:v>42300</c:v>
                </c:pt>
                <c:pt idx="1">
                  <c:v>40600</c:v>
                </c:pt>
                <c:pt idx="2">
                  <c:v>44133</c:v>
                </c:pt>
                <c:pt idx="3">
                  <c:v>45967</c:v>
                </c:pt>
                <c:pt idx="4">
                  <c:v>50800</c:v>
                </c:pt>
                <c:pt idx="5">
                  <c:v>54133</c:v>
                </c:pt>
                <c:pt idx="6">
                  <c:v>57767</c:v>
                </c:pt>
                <c:pt idx="7">
                  <c:v>61767</c:v>
                </c:pt>
                <c:pt idx="8">
                  <c:v>65400</c:v>
                </c:pt>
                <c:pt idx="9">
                  <c:v>68800</c:v>
                </c:pt>
                <c:pt idx="10">
                  <c:v>71767</c:v>
                </c:pt>
                <c:pt idx="11">
                  <c:v>75233</c:v>
                </c:pt>
                <c:pt idx="12">
                  <c:v>78667</c:v>
                </c:pt>
                <c:pt idx="13">
                  <c:v>82433</c:v>
                </c:pt>
                <c:pt idx="14">
                  <c:v>85367</c:v>
                </c:pt>
                <c:pt idx="15">
                  <c:v>88533</c:v>
                </c:pt>
                <c:pt idx="16">
                  <c:v>92133</c:v>
                </c:pt>
                <c:pt idx="17">
                  <c:v>96100</c:v>
                </c:pt>
                <c:pt idx="18">
                  <c:v>99433</c:v>
                </c:pt>
                <c:pt idx="19">
                  <c:v>103100</c:v>
                </c:pt>
                <c:pt idx="20">
                  <c:v>107233</c:v>
                </c:pt>
                <c:pt idx="21">
                  <c:v>111767</c:v>
                </c:pt>
                <c:pt idx="22">
                  <c:v>116567</c:v>
                </c:pt>
                <c:pt idx="23">
                  <c:v>121833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454294"/>
        <c:axId val="83253937"/>
      </c:lineChart>
      <c:catAx>
        <c:axId val="434542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53937"/>
        <c:crosses val="autoZero"/>
        <c:auto val="1"/>
        <c:lblAlgn val="ctr"/>
        <c:lblOffset val="100"/>
        <c:noMultiLvlLbl val="0"/>
      </c:catAx>
      <c:valAx>
        <c:axId val="83253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542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Distribution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'Customer Segments'!K3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'Customer Segments'!$J$4:$J$6</c:f>
              <c:strCache>
                <c:ptCount val="3"/>
                <c:pt idx="0">
                  <c:v>Premium</c:v>
                </c:pt>
                <c:pt idx="1">
                  <c:v>Standard</c:v>
                </c:pt>
                <c:pt idx="2">
                  <c:v>Basic</c:v>
                </c:pt>
              </c:strCache>
            </c:strRef>
          </c:cat>
          <c:val>
            <c:numRef>
              <c:f>'Customer Segments'!$K$4:$K$6</c:f>
              <c:numCache>
                <c:formatCode>General</c:formatCode>
                <c:ptCount val="3"/>
                <c:pt idx="0">
                  <c:v>28</c:v>
                </c:pt>
                <c:pt idx="1">
                  <c:v>51</c:v>
                </c:pt>
                <c:pt idx="2">
                  <c:v>21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'Branch Performance'!H3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1b3a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'Branch Performance'!$B$4:$B$13</c:f>
              <c:strCache>
                <c:ptCount val="10"/>
                <c:pt idx="0">
                  <c:v>West Coast HQ</c:v>
                </c:pt>
                <c:pt idx="1">
                  <c:v>Silicon Valley Branch</c:v>
                </c:pt>
                <c:pt idx="2">
                  <c:v>Downtown Financial Centre</c:v>
                </c:pt>
                <c:pt idx="3">
                  <c:v>Texas Financial Hub</c:v>
                </c:pt>
                <c:pt idx="4">
                  <c:v>Chicago Central</c:v>
                </c:pt>
                <c:pt idx="5">
                  <c:v>Seattle Tech Hub</c:v>
                </c:pt>
                <c:pt idx="6">
                  <c:v>Boston Academic District</c:v>
                </c:pt>
                <c:pt idx="7">
                  <c:v>Midtown Business Hub</c:v>
                </c:pt>
                <c:pt idx="8">
                  <c:v>Atlanta Business Centre</c:v>
                </c:pt>
                <c:pt idx="9">
                  <c:v>Phoenix Desert Branch</c:v>
                </c:pt>
              </c:strCache>
            </c:strRef>
          </c:cat>
          <c:val>
            <c:numRef>
              <c:f>'Branch Performance'!$H$4:$H$13</c:f>
              <c:numCache>
                <c:formatCode>General</c:formatCode>
                <c:ptCount val="10"/>
                <c:pt idx="0">
                  <c:v>131400</c:v>
                </c:pt>
                <c:pt idx="1">
                  <c:v>121800</c:v>
                </c:pt>
                <c:pt idx="2">
                  <c:v>115600</c:v>
                </c:pt>
                <c:pt idx="3">
                  <c:v>112300</c:v>
                </c:pt>
                <c:pt idx="4">
                  <c:v>107400</c:v>
                </c:pt>
                <c:pt idx="5">
                  <c:v>103200</c:v>
                </c:pt>
                <c:pt idx="6">
                  <c:v>96400</c:v>
                </c:pt>
                <c:pt idx="7">
                  <c:v>88700</c:v>
                </c:pt>
                <c:pt idx="8">
                  <c:v>79200</c:v>
                </c:pt>
                <c:pt idx="9">
                  <c:v>74300</c:v>
                </c:pt>
              </c:numCache>
            </c:numRef>
          </c:val>
        </c:ser>
        <c:gapWidth val="150"/>
        <c:overlap val="0"/>
        <c:axId val="14201563"/>
        <c:axId val="18673119"/>
      </c:barChart>
      <c:catAx>
        <c:axId val="1420156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73119"/>
        <c:crosses val="autoZero"/>
        <c:auto val="1"/>
        <c:lblAlgn val="ctr"/>
        <c:lblOffset val="100"/>
        <c:noMultiLvlLbl val="0"/>
      </c:catAx>
      <c:valAx>
        <c:axId val="18673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Branch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015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— Projected 12M CLV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Customers'!I3</c:f>
              <c:strCache>
                <c:ptCount val="1"/>
                <c:pt idx="0">
                  <c:v>Proj 12M CLV ($)</c:v>
                </c:pt>
              </c:strCache>
            </c:strRef>
          </c:tx>
          <c:spPr>
            <a:solidFill>
              <a:srgbClr val="c9a84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Customers'!$B$4:$B$13</c:f>
              <c:strCache>
                <c:ptCount val="10"/>
                <c:pt idx="0">
                  <c:v>Billy Hayes</c:v>
                </c:pt>
                <c:pt idx="1">
                  <c:v>Justin Edwards</c:v>
                </c:pt>
                <c:pt idx="2">
                  <c:v>Eugene Graham</c:v>
                </c:pt>
                <c:pt idx="3">
                  <c:v>Steven Walker</c:v>
                </c:pt>
                <c:pt idx="4">
                  <c:v>Thomas Wilson</c:v>
                </c:pt>
                <c:pt idx="5">
                  <c:v>Aaron Cole</c:v>
                </c:pt>
                <c:pt idx="6">
                  <c:v>Arthur Peterson</c:v>
                </c:pt>
                <c:pt idx="7">
                  <c:v>Wayne Coleman</c:v>
                </c:pt>
                <c:pt idx="8">
                  <c:v>Gary Phillips</c:v>
                </c:pt>
                <c:pt idx="9">
                  <c:v>Kevin Mitchell</c:v>
                </c:pt>
              </c:strCache>
            </c:strRef>
          </c:cat>
          <c:val>
            <c:numRef>
              <c:f>'Top Customers'!$I$4:$I$13</c:f>
              <c:numCache>
                <c:formatCode>General</c:formatCode>
                <c:ptCount val="10"/>
                <c:pt idx="0">
                  <c:v>312800</c:v>
                </c:pt>
                <c:pt idx="1">
                  <c:v>298400</c:v>
                </c:pt>
                <c:pt idx="2">
                  <c:v>287200</c:v>
                </c:pt>
                <c:pt idx="3">
                  <c:v>274600</c:v>
                </c:pt>
                <c:pt idx="4">
                  <c:v>261300</c:v>
                </c:pt>
                <c:pt idx="5">
                  <c:v>248900</c:v>
                </c:pt>
                <c:pt idx="6">
                  <c:v>236400</c:v>
                </c:pt>
                <c:pt idx="7">
                  <c:v>223800</c:v>
                </c:pt>
                <c:pt idx="8">
                  <c:v>211200</c:v>
                </c:pt>
                <c:pt idx="9">
                  <c:v>198600</c:v>
                </c:pt>
              </c:numCache>
            </c:numRef>
          </c:val>
        </c:ser>
        <c:gapWidth val="150"/>
        <c:overlap val="0"/>
        <c:axId val="83408943"/>
        <c:axId val="90948883"/>
      </c:barChart>
      <c:catAx>
        <c:axId val="8340894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CLV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48883"/>
        <c:crosses val="autoZero"/>
        <c:auto val="1"/>
        <c:lblAlgn val="ctr"/>
        <c:lblOffset val="100"/>
        <c:noMultiLvlLbl val="0"/>
      </c:catAx>
      <c:valAx>
        <c:axId val="90948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089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21</xdr:col>
      <xdr:colOff>581400</xdr:colOff>
      <xdr:row>26</xdr:row>
      <xdr:rowOff>86760</xdr:rowOff>
    </xdr:to>
    <xdr:graphicFrame>
      <xdr:nvGraphicFramePr>
        <xdr:cNvPr id="0" name="Chart 1"/>
        <xdr:cNvGraphicFramePr/>
      </xdr:nvGraphicFramePr>
      <xdr:xfrm>
        <a:off x="8858160" y="704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6</xdr:row>
      <xdr:rowOff>0</xdr:rowOff>
    </xdr:from>
    <xdr:to>
      <xdr:col>16</xdr:col>
      <xdr:colOff>431640</xdr:colOff>
      <xdr:row>28</xdr:row>
      <xdr:rowOff>5040</xdr:rowOff>
    </xdr:to>
    <xdr:graphicFrame>
      <xdr:nvGraphicFramePr>
        <xdr:cNvPr id="1" name="Chart 1"/>
        <xdr:cNvGraphicFramePr/>
      </xdr:nvGraphicFramePr>
      <xdr:xfrm>
        <a:off x="7612560" y="16574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20</xdr:col>
      <xdr:colOff>473040</xdr:colOff>
      <xdr:row>27</xdr:row>
      <xdr:rowOff>20160</xdr:rowOff>
    </xdr:to>
    <xdr:graphicFrame>
      <xdr:nvGraphicFramePr>
        <xdr:cNvPr id="2" name="Chart 1"/>
        <xdr:cNvGraphicFramePr/>
      </xdr:nvGraphicFramePr>
      <xdr:xfrm>
        <a:off x="8669520" y="70488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21</xdr:col>
      <xdr:colOff>473040</xdr:colOff>
      <xdr:row>26</xdr:row>
      <xdr:rowOff>115200</xdr:rowOff>
    </xdr:to>
    <xdr:graphicFrame>
      <xdr:nvGraphicFramePr>
        <xdr:cNvPr id="3" name="Chart 1"/>
        <xdr:cNvGraphicFramePr/>
      </xdr:nvGraphicFramePr>
      <xdr:xfrm>
        <a:off x="10079280" y="70488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9" customFormat="false" ht="18" hidden="false" customHeight="true" outlineLevel="0" collapsed="false">
      <c r="A9" s="3" t="s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27.75" hidden="false" customHeight="true" outlineLevel="0" collapsed="false">
      <c r="A10" s="4" t="s">
        <v>4</v>
      </c>
      <c r="B10" s="4" t="s">
        <v>5</v>
      </c>
      <c r="C10" s="4" t="s">
        <v>6</v>
      </c>
      <c r="D10" s="4" t="s">
        <v>7</v>
      </c>
      <c r="E10" s="4" t="s">
        <v>8</v>
      </c>
      <c r="F10" s="4" t="s">
        <v>9</v>
      </c>
      <c r="G10" s="4" t="s">
        <v>10</v>
      </c>
    </row>
    <row r="11" customFormat="false" ht="15.75" hidden="false" customHeight="true" outlineLevel="0" collapsed="false">
      <c r="A11" s="5" t="s">
        <v>11</v>
      </c>
      <c r="B11" s="5" t="n">
        <v>28</v>
      </c>
      <c r="C11" s="5" t="s">
        <v>12</v>
      </c>
      <c r="D11" s="5" t="s">
        <v>13</v>
      </c>
      <c r="E11" s="5" t="s">
        <v>14</v>
      </c>
      <c r="F11" s="5" t="n">
        <v>14</v>
      </c>
      <c r="G11" s="5" t="s">
        <v>15</v>
      </c>
    </row>
    <row r="12" customFormat="false" ht="15.75" hidden="false" customHeight="true" outlineLevel="0" collapsed="false">
      <c r="A12" s="6" t="s">
        <v>16</v>
      </c>
      <c r="B12" s="6" t="n">
        <v>51</v>
      </c>
      <c r="C12" s="6" t="s">
        <v>17</v>
      </c>
      <c r="D12" s="6" t="s">
        <v>18</v>
      </c>
      <c r="E12" s="6" t="s">
        <v>19</v>
      </c>
      <c r="F12" s="6" t="n">
        <v>12</v>
      </c>
      <c r="G12" s="6" t="s">
        <v>20</v>
      </c>
    </row>
    <row r="13" customFormat="false" ht="15.75" hidden="false" customHeight="true" outlineLevel="0" collapsed="false">
      <c r="A13" s="5" t="s">
        <v>21</v>
      </c>
      <c r="B13" s="5" t="n">
        <v>21</v>
      </c>
      <c r="C13" s="5" t="s">
        <v>22</v>
      </c>
      <c r="D13" s="5" t="s">
        <v>23</v>
      </c>
      <c r="E13" s="5" t="s">
        <v>24</v>
      </c>
      <c r="F13" s="5" t="n">
        <v>4</v>
      </c>
      <c r="G13" s="5" t="s">
        <v>25</v>
      </c>
    </row>
    <row r="15" customFormat="false" ht="18" hidden="false" customHeight="true" outlineLevel="0" collapsed="false">
      <c r="A15" s="7" t="s">
        <v>26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8" hidden="false" customHeight="true" outlineLevel="0" collapsed="false">
      <c r="A16" s="8" t="s">
        <v>27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8" hidden="false" customHeight="true" outlineLevel="0" collapsed="false">
      <c r="A17" s="8" t="s">
        <v>28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18" hidden="false" customHeight="true" outlineLevel="0" collapsed="false">
      <c r="A18" s="8" t="s">
        <v>29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customFormat="false" ht="18" hidden="false" customHeight="true" outlineLevel="0" collapsed="false">
      <c r="A19" s="8" t="s">
        <v>30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55" customFormat="false" ht="15" hidden="false" customHeight="true" outlineLevel="0" collapsed="false">
      <c r="A55" s="9" t="s">
        <v>31</v>
      </c>
      <c r="B55" s="9"/>
      <c r="C55" s="9"/>
      <c r="D55" s="9" t="s">
        <v>32</v>
      </c>
      <c r="E55" s="9"/>
      <c r="F55" s="9"/>
      <c r="G55" s="9" t="s">
        <v>33</v>
      </c>
      <c r="H55" s="9"/>
      <c r="I55" s="9"/>
      <c r="J55" s="9" t="s">
        <v>34</v>
      </c>
      <c r="K55" s="9"/>
      <c r="L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</sheetData>
  <mergeCells count="13">
    <mergeCell ref="A1:L1"/>
    <mergeCell ref="A2:L2"/>
    <mergeCell ref="A4:L4"/>
    <mergeCell ref="A9:L9"/>
    <mergeCell ref="A15:L15"/>
    <mergeCell ref="A16:L16"/>
    <mergeCell ref="A17:L17"/>
    <mergeCell ref="A18:L18"/>
    <mergeCell ref="A19:L19"/>
    <mergeCell ref="A55:C57"/>
    <mergeCell ref="D55:F57"/>
    <mergeCell ref="G55:I57"/>
    <mergeCell ref="J55:L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37.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</row>
    <row r="4" customFormat="false" ht="15.75" hidden="false" customHeight="true" outlineLevel="0" collapsed="false">
      <c r="A4" s="6" t="s">
        <v>45</v>
      </c>
      <c r="B4" s="6" t="n">
        <v>42300</v>
      </c>
      <c r="C4" s="6" t="n">
        <v>38</v>
      </c>
      <c r="D4" s="6" t="n">
        <v>22</v>
      </c>
      <c r="E4" s="6" t="s">
        <v>46</v>
      </c>
      <c r="F4" s="6" t="s">
        <v>46</v>
      </c>
      <c r="G4" s="6" t="n">
        <f aca="false">ROUND(AVERAGE(B4:B4),0)</f>
        <v>42300</v>
      </c>
      <c r="H4" s="6" t="n">
        <f aca="false">SUM(B$4:B4)</f>
        <v>42300</v>
      </c>
    </row>
    <row r="5" customFormat="false" ht="15.75" hidden="false" customHeight="true" outlineLevel="0" collapsed="false">
      <c r="A5" s="5" t="s">
        <v>47</v>
      </c>
      <c r="B5" s="5" t="n">
        <v>38900</v>
      </c>
      <c r="C5" s="5" t="n">
        <v>34</v>
      </c>
      <c r="D5" s="5" t="n">
        <v>19</v>
      </c>
      <c r="E5" s="5" t="n">
        <f aca="false">B4</f>
        <v>42300</v>
      </c>
      <c r="F5" s="5" t="str">
        <f aca="false">IFERROR(ROUND((B5-B4)/B4*100,1)&amp;"%","-")</f>
        <v>-8%</v>
      </c>
      <c r="G5" s="5" t="n">
        <f aca="false">ROUND(AVERAGE(B4:B5),0)</f>
        <v>40600</v>
      </c>
      <c r="H5" s="5" t="n">
        <f aca="false">SUM(B$4:B5)</f>
        <v>81200</v>
      </c>
    </row>
    <row r="6" customFormat="false" ht="15.75" hidden="false" customHeight="true" outlineLevel="0" collapsed="false">
      <c r="A6" s="6" t="s">
        <v>48</v>
      </c>
      <c r="B6" s="6" t="n">
        <v>51200</v>
      </c>
      <c r="C6" s="6" t="n">
        <v>45</v>
      </c>
      <c r="D6" s="6" t="n">
        <v>27</v>
      </c>
      <c r="E6" s="6" t="n">
        <f aca="false">B5</f>
        <v>38900</v>
      </c>
      <c r="F6" s="6" t="str">
        <f aca="false">IFERROR(ROUND((B6-B5)/B5*100,1)&amp;"%","-")</f>
        <v>31.6%</v>
      </c>
      <c r="G6" s="6" t="n">
        <f aca="false">ROUND(AVERAGE(B4:B6),0)</f>
        <v>44133</v>
      </c>
      <c r="H6" s="6" t="n">
        <f aca="false">SUM(B$4:B6)</f>
        <v>132400</v>
      </c>
    </row>
    <row r="7" customFormat="false" ht="15.75" hidden="false" customHeight="true" outlineLevel="0" collapsed="false">
      <c r="A7" s="5" t="s">
        <v>49</v>
      </c>
      <c r="B7" s="5" t="n">
        <v>47800</v>
      </c>
      <c r="C7" s="5" t="n">
        <v>42</v>
      </c>
      <c r="D7" s="5" t="n">
        <v>25</v>
      </c>
      <c r="E7" s="5" t="n">
        <f aca="false">B6</f>
        <v>51200</v>
      </c>
      <c r="F7" s="5" t="str">
        <f aca="false">IFERROR(ROUND((B7-B6)/B6*100,1)&amp;"%","-")</f>
        <v>-6.6%</v>
      </c>
      <c r="G7" s="5" t="n">
        <f aca="false">ROUND(AVERAGE(B5:B7),0)</f>
        <v>45967</v>
      </c>
      <c r="H7" s="5" t="n">
        <f aca="false">SUM(B$4:B7)</f>
        <v>180200</v>
      </c>
    </row>
    <row r="8" customFormat="false" ht="15.75" hidden="false" customHeight="true" outlineLevel="0" collapsed="false">
      <c r="A8" s="6" t="s">
        <v>50</v>
      </c>
      <c r="B8" s="6" t="n">
        <v>53400</v>
      </c>
      <c r="C8" s="6" t="n">
        <v>47</v>
      </c>
      <c r="D8" s="6" t="n">
        <v>29</v>
      </c>
      <c r="E8" s="6" t="n">
        <f aca="false">B7</f>
        <v>47800</v>
      </c>
      <c r="F8" s="6" t="str">
        <f aca="false">IFERROR(ROUND((B8-B7)/B7*100,1)&amp;"%","-")</f>
        <v>11.7%</v>
      </c>
      <c r="G8" s="6" t="n">
        <f aca="false">ROUND(AVERAGE(B6:B8),0)</f>
        <v>50800</v>
      </c>
      <c r="H8" s="6" t="n">
        <f aca="false">SUM(B$4:B8)</f>
        <v>233600</v>
      </c>
    </row>
    <row r="9" customFormat="false" ht="15.75" hidden="false" customHeight="true" outlineLevel="0" collapsed="false">
      <c r="A9" s="5" t="s">
        <v>51</v>
      </c>
      <c r="B9" s="5" t="n">
        <v>61200</v>
      </c>
      <c r="C9" s="5" t="n">
        <v>54</v>
      </c>
      <c r="D9" s="5" t="n">
        <v>33</v>
      </c>
      <c r="E9" s="5" t="n">
        <f aca="false">B8</f>
        <v>53400</v>
      </c>
      <c r="F9" s="5" t="str">
        <f aca="false">IFERROR(ROUND((B9-B8)/B8*100,1)&amp;"%","-")</f>
        <v>14.6%</v>
      </c>
      <c r="G9" s="5" t="n">
        <f aca="false">ROUND(AVERAGE(B7:B9),0)</f>
        <v>54133</v>
      </c>
      <c r="H9" s="5" t="n">
        <f aca="false">SUM(B$4:B9)</f>
        <v>294800</v>
      </c>
    </row>
    <row r="10" customFormat="false" ht="15.75" hidden="false" customHeight="true" outlineLevel="0" collapsed="false">
      <c r="A10" s="6" t="s">
        <v>52</v>
      </c>
      <c r="B10" s="6" t="n">
        <v>58700</v>
      </c>
      <c r="C10" s="6" t="n">
        <v>52</v>
      </c>
      <c r="D10" s="6" t="n">
        <v>31</v>
      </c>
      <c r="E10" s="6" t="n">
        <f aca="false">B9</f>
        <v>61200</v>
      </c>
      <c r="F10" s="6" t="str">
        <f aca="false">IFERROR(ROUND((B10-B9)/B9*100,1)&amp;"%","-")</f>
        <v>-4.1%</v>
      </c>
      <c r="G10" s="6" t="n">
        <f aca="false">ROUND(AVERAGE(B8:B10),0)</f>
        <v>57767</v>
      </c>
      <c r="H10" s="6" t="n">
        <f aca="false">SUM(B$4:B10)</f>
        <v>353500</v>
      </c>
    </row>
    <row r="11" customFormat="false" ht="15.75" hidden="false" customHeight="true" outlineLevel="0" collapsed="false">
      <c r="A11" s="5" t="s">
        <v>53</v>
      </c>
      <c r="B11" s="5" t="n">
        <v>65400</v>
      </c>
      <c r="C11" s="5" t="n">
        <v>58</v>
      </c>
      <c r="D11" s="5" t="n">
        <v>36</v>
      </c>
      <c r="E11" s="5" t="n">
        <f aca="false">B10</f>
        <v>58700</v>
      </c>
      <c r="F11" s="5" t="str">
        <f aca="false">IFERROR(ROUND((B11-B10)/B10*100,1)&amp;"%","-")</f>
        <v>11.4%</v>
      </c>
      <c r="G11" s="5" t="n">
        <f aca="false">ROUND(AVERAGE(B9:B11),0)</f>
        <v>61767</v>
      </c>
      <c r="H11" s="5" t="n">
        <f aca="false">SUM(B$4:B11)</f>
        <v>418900</v>
      </c>
    </row>
    <row r="12" customFormat="false" ht="15.75" hidden="false" customHeight="true" outlineLevel="0" collapsed="false">
      <c r="A12" s="6" t="s">
        <v>54</v>
      </c>
      <c r="B12" s="6" t="n">
        <v>72100</v>
      </c>
      <c r="C12" s="6" t="n">
        <v>64</v>
      </c>
      <c r="D12" s="6" t="n">
        <v>40</v>
      </c>
      <c r="E12" s="6" t="n">
        <f aca="false">B11</f>
        <v>65400</v>
      </c>
      <c r="F12" s="6" t="str">
        <f aca="false">IFERROR(ROUND((B12-B11)/B11*100,1)&amp;"%","-")</f>
        <v>10.2%</v>
      </c>
      <c r="G12" s="6" t="n">
        <f aca="false">ROUND(AVERAGE(B10:B12),0)</f>
        <v>65400</v>
      </c>
      <c r="H12" s="6" t="n">
        <f aca="false">SUM(B$4:B12)</f>
        <v>491000</v>
      </c>
    </row>
    <row r="13" customFormat="false" ht="15.75" hidden="false" customHeight="true" outlineLevel="0" collapsed="false">
      <c r="A13" s="5" t="s">
        <v>55</v>
      </c>
      <c r="B13" s="5" t="n">
        <v>68900</v>
      </c>
      <c r="C13" s="5" t="n">
        <v>61</v>
      </c>
      <c r="D13" s="5" t="n">
        <v>38</v>
      </c>
      <c r="E13" s="5" t="n">
        <f aca="false">B12</f>
        <v>72100</v>
      </c>
      <c r="F13" s="5" t="str">
        <f aca="false">IFERROR(ROUND((B13-B12)/B12*100,1)&amp;"%","-")</f>
        <v>-4.4%</v>
      </c>
      <c r="G13" s="5" t="n">
        <f aca="false">ROUND(AVERAGE(B11:B13),0)</f>
        <v>68800</v>
      </c>
      <c r="H13" s="5" t="n">
        <f aca="false">SUM(B$4:B13)</f>
        <v>559900</v>
      </c>
    </row>
    <row r="14" customFormat="false" ht="15.75" hidden="false" customHeight="true" outlineLevel="0" collapsed="false">
      <c r="A14" s="6" t="s">
        <v>56</v>
      </c>
      <c r="B14" s="6" t="n">
        <v>74300</v>
      </c>
      <c r="C14" s="6" t="n">
        <v>66</v>
      </c>
      <c r="D14" s="6" t="n">
        <v>41</v>
      </c>
      <c r="E14" s="6" t="n">
        <f aca="false">B13</f>
        <v>68900</v>
      </c>
      <c r="F14" s="6" t="str">
        <f aca="false">IFERROR(ROUND((B14-B13)/B13*100,1)&amp;"%","-")</f>
        <v>7.8%</v>
      </c>
      <c r="G14" s="6" t="n">
        <f aca="false">ROUND(AVERAGE(B12:B14),0)</f>
        <v>71767</v>
      </c>
      <c r="H14" s="6" t="n">
        <f aca="false">SUM(B$4:B14)</f>
        <v>634200</v>
      </c>
    </row>
    <row r="15" customFormat="false" ht="15.75" hidden="false" customHeight="true" outlineLevel="0" collapsed="false">
      <c r="A15" s="5" t="s">
        <v>57</v>
      </c>
      <c r="B15" s="5" t="n">
        <v>82500</v>
      </c>
      <c r="C15" s="5" t="n">
        <v>73</v>
      </c>
      <c r="D15" s="5" t="n">
        <v>46</v>
      </c>
      <c r="E15" s="5" t="n">
        <f aca="false">B14</f>
        <v>74300</v>
      </c>
      <c r="F15" s="5" t="str">
        <f aca="false">IFERROR(ROUND((B15-B14)/B14*100,1)&amp;"%","-")</f>
        <v>11%</v>
      </c>
      <c r="G15" s="5" t="n">
        <f aca="false">ROUND(AVERAGE(B13:B15),0)</f>
        <v>75233</v>
      </c>
      <c r="H15" s="5" t="n">
        <f aca="false">SUM(B$4:B15)</f>
        <v>716700</v>
      </c>
    </row>
    <row r="16" customFormat="false" ht="15.75" hidden="false" customHeight="true" outlineLevel="0" collapsed="false">
      <c r="A16" s="6" t="s">
        <v>58</v>
      </c>
      <c r="B16" s="6" t="n">
        <v>79200</v>
      </c>
      <c r="C16" s="6" t="n">
        <v>70</v>
      </c>
      <c r="D16" s="6" t="n">
        <v>44</v>
      </c>
      <c r="E16" s="6" t="n">
        <f aca="false">B15</f>
        <v>82500</v>
      </c>
      <c r="F16" s="6" t="str">
        <f aca="false">IFERROR(ROUND((B16-B15)/B15*100,1)&amp;"%","-")</f>
        <v>-4%</v>
      </c>
      <c r="G16" s="6" t="n">
        <f aca="false">ROUND(AVERAGE(B14:B16),0)</f>
        <v>78667</v>
      </c>
      <c r="H16" s="6" t="n">
        <f aca="false">SUM(B$4:B16)</f>
        <v>795900</v>
      </c>
    </row>
    <row r="17" customFormat="false" ht="15.75" hidden="false" customHeight="true" outlineLevel="0" collapsed="false">
      <c r="A17" s="5" t="s">
        <v>59</v>
      </c>
      <c r="B17" s="5" t="n">
        <v>85600</v>
      </c>
      <c r="C17" s="5" t="n">
        <v>76</v>
      </c>
      <c r="D17" s="5" t="n">
        <v>48</v>
      </c>
      <c r="E17" s="5" t="n">
        <f aca="false">B16</f>
        <v>79200</v>
      </c>
      <c r="F17" s="5" t="str">
        <f aca="false">IFERROR(ROUND((B17-B16)/B16*100,1)&amp;"%","-")</f>
        <v>8.1%</v>
      </c>
      <c r="G17" s="5" t="n">
        <f aca="false">ROUND(AVERAGE(B15:B17),0)</f>
        <v>82433</v>
      </c>
      <c r="H17" s="5" t="n">
        <f aca="false">SUM(B$4:B17)</f>
        <v>881500</v>
      </c>
    </row>
    <row r="18" customFormat="false" ht="15.75" hidden="false" customHeight="true" outlineLevel="0" collapsed="false">
      <c r="A18" s="6" t="s">
        <v>60</v>
      </c>
      <c r="B18" s="6" t="n">
        <v>91300</v>
      </c>
      <c r="C18" s="6" t="n">
        <v>81</v>
      </c>
      <c r="D18" s="6" t="n">
        <v>51</v>
      </c>
      <c r="E18" s="6" t="n">
        <f aca="false">B17</f>
        <v>85600</v>
      </c>
      <c r="F18" s="6" t="str">
        <f aca="false">IFERROR(ROUND((B18-B17)/B17*100,1)&amp;"%","-")</f>
        <v>6.7%</v>
      </c>
      <c r="G18" s="6" t="n">
        <f aca="false">ROUND(AVERAGE(B16:B18),0)</f>
        <v>85367</v>
      </c>
      <c r="H18" s="6" t="n">
        <f aca="false">SUM(B$4:B18)</f>
        <v>972800</v>
      </c>
    </row>
    <row r="19" customFormat="false" ht="15.75" hidden="false" customHeight="true" outlineLevel="0" collapsed="false">
      <c r="A19" s="5" t="s">
        <v>61</v>
      </c>
      <c r="B19" s="5" t="n">
        <v>88700</v>
      </c>
      <c r="C19" s="5" t="n">
        <v>79</v>
      </c>
      <c r="D19" s="5" t="n">
        <v>50</v>
      </c>
      <c r="E19" s="5" t="n">
        <f aca="false">B18</f>
        <v>91300</v>
      </c>
      <c r="F19" s="5" t="str">
        <f aca="false">IFERROR(ROUND((B19-B18)/B18*100,1)&amp;"%","-")</f>
        <v>-2.8%</v>
      </c>
      <c r="G19" s="5" t="n">
        <f aca="false">ROUND(AVERAGE(B17:B19),0)</f>
        <v>88533</v>
      </c>
      <c r="H19" s="5" t="n">
        <f aca="false">SUM(B$4:B19)</f>
        <v>1061500</v>
      </c>
    </row>
    <row r="20" customFormat="false" ht="15.75" hidden="false" customHeight="true" outlineLevel="0" collapsed="false">
      <c r="A20" s="6" t="s">
        <v>62</v>
      </c>
      <c r="B20" s="6" t="n">
        <v>96400</v>
      </c>
      <c r="C20" s="6" t="n">
        <v>86</v>
      </c>
      <c r="D20" s="6" t="n">
        <v>55</v>
      </c>
      <c r="E20" s="6" t="n">
        <f aca="false">B19</f>
        <v>88700</v>
      </c>
      <c r="F20" s="6" t="str">
        <f aca="false">IFERROR(ROUND((B20-B19)/B19*100,1)&amp;"%","-")</f>
        <v>8.7%</v>
      </c>
      <c r="G20" s="6" t="n">
        <f aca="false">ROUND(AVERAGE(B18:B20),0)</f>
        <v>92133</v>
      </c>
      <c r="H20" s="6" t="n">
        <f aca="false">SUM(B$4:B20)</f>
        <v>1157900</v>
      </c>
    </row>
    <row r="21" customFormat="false" ht="15.75" hidden="false" customHeight="true" outlineLevel="0" collapsed="false">
      <c r="A21" s="5" t="s">
        <v>63</v>
      </c>
      <c r="B21" s="5" t="n">
        <v>103200</v>
      </c>
      <c r="C21" s="5" t="n">
        <v>92</v>
      </c>
      <c r="D21" s="5" t="n">
        <v>59</v>
      </c>
      <c r="E21" s="5" t="n">
        <f aca="false">B20</f>
        <v>96400</v>
      </c>
      <c r="F21" s="5" t="str">
        <f aca="false">IFERROR(ROUND((B21-B20)/B20*100,1)&amp;"%","-")</f>
        <v>7.1%</v>
      </c>
      <c r="G21" s="5" t="n">
        <f aca="false">ROUND(AVERAGE(B19:B21),0)</f>
        <v>96100</v>
      </c>
      <c r="H21" s="5" t="n">
        <f aca="false">SUM(B$4:B21)</f>
        <v>1261100</v>
      </c>
    </row>
    <row r="22" customFormat="false" ht="15.75" hidden="false" customHeight="true" outlineLevel="0" collapsed="false">
      <c r="A22" s="6" t="s">
        <v>64</v>
      </c>
      <c r="B22" s="6" t="n">
        <v>98700</v>
      </c>
      <c r="C22" s="6" t="n">
        <v>88</v>
      </c>
      <c r="D22" s="6" t="n">
        <v>57</v>
      </c>
      <c r="E22" s="6" t="n">
        <f aca="false">B21</f>
        <v>103200</v>
      </c>
      <c r="F22" s="6" t="str">
        <f aca="false">IFERROR(ROUND((B22-B21)/B21*100,1)&amp;"%","-")</f>
        <v>-4.4%</v>
      </c>
      <c r="G22" s="6" t="n">
        <f aca="false">ROUND(AVERAGE(B20:B22),0)</f>
        <v>99433</v>
      </c>
      <c r="H22" s="6" t="n">
        <f aca="false">SUM(B$4:B22)</f>
        <v>1359800</v>
      </c>
    </row>
    <row r="23" customFormat="false" ht="15.75" hidden="false" customHeight="true" outlineLevel="0" collapsed="false">
      <c r="A23" s="5" t="s">
        <v>65</v>
      </c>
      <c r="B23" s="5" t="n">
        <v>107400</v>
      </c>
      <c r="C23" s="5" t="n">
        <v>96</v>
      </c>
      <c r="D23" s="5" t="n">
        <v>62</v>
      </c>
      <c r="E23" s="5" t="n">
        <f aca="false">B22</f>
        <v>98700</v>
      </c>
      <c r="F23" s="5" t="str">
        <f aca="false">IFERROR(ROUND((B23-B22)/B22*100,1)&amp;"%","-")</f>
        <v>8.8%</v>
      </c>
      <c r="G23" s="5" t="n">
        <f aca="false">ROUND(AVERAGE(B21:B23),0)</f>
        <v>103100</v>
      </c>
      <c r="H23" s="5" t="n">
        <f aca="false">SUM(B$4:B23)</f>
        <v>1467200</v>
      </c>
    </row>
    <row r="24" customFormat="false" ht="15.75" hidden="false" customHeight="true" outlineLevel="0" collapsed="false">
      <c r="A24" s="6" t="s">
        <v>66</v>
      </c>
      <c r="B24" s="6" t="n">
        <v>115600</v>
      </c>
      <c r="C24" s="6" t="n">
        <v>103</v>
      </c>
      <c r="D24" s="6" t="n">
        <v>67</v>
      </c>
      <c r="E24" s="6" t="n">
        <f aca="false">B23</f>
        <v>107400</v>
      </c>
      <c r="F24" s="6" t="str">
        <f aca="false">IFERROR(ROUND((B24-B23)/B23*100,1)&amp;"%","-")</f>
        <v>7.6%</v>
      </c>
      <c r="G24" s="6" t="n">
        <f aca="false">ROUND(AVERAGE(B22:B24),0)</f>
        <v>107233</v>
      </c>
      <c r="H24" s="6" t="n">
        <f aca="false">SUM(B$4:B24)</f>
        <v>1582800</v>
      </c>
    </row>
    <row r="25" customFormat="false" ht="15.75" hidden="false" customHeight="true" outlineLevel="0" collapsed="false">
      <c r="A25" s="5" t="s">
        <v>67</v>
      </c>
      <c r="B25" s="5" t="n">
        <v>112300</v>
      </c>
      <c r="C25" s="5" t="n">
        <v>100</v>
      </c>
      <c r="D25" s="5" t="n">
        <v>65</v>
      </c>
      <c r="E25" s="5" t="n">
        <f aca="false">B24</f>
        <v>115600</v>
      </c>
      <c r="F25" s="5" t="str">
        <f aca="false">IFERROR(ROUND((B25-B24)/B24*100,1)&amp;"%","-")</f>
        <v>-2.9%</v>
      </c>
      <c r="G25" s="5" t="n">
        <f aca="false">ROUND(AVERAGE(B23:B25),0)</f>
        <v>111767</v>
      </c>
      <c r="H25" s="5" t="n">
        <f aca="false">SUM(B$4:B25)</f>
        <v>1695100</v>
      </c>
    </row>
    <row r="26" customFormat="false" ht="15.75" hidden="false" customHeight="true" outlineLevel="0" collapsed="false">
      <c r="A26" s="6" t="s">
        <v>68</v>
      </c>
      <c r="B26" s="6" t="n">
        <v>121800</v>
      </c>
      <c r="C26" s="6" t="n">
        <v>109</v>
      </c>
      <c r="D26" s="6" t="n">
        <v>71</v>
      </c>
      <c r="E26" s="6" t="n">
        <f aca="false">B25</f>
        <v>112300</v>
      </c>
      <c r="F26" s="6" t="str">
        <f aca="false">IFERROR(ROUND((B26-B25)/B25*100,1)&amp;"%","-")</f>
        <v>8.5%</v>
      </c>
      <c r="G26" s="6" t="n">
        <f aca="false">ROUND(AVERAGE(B24:B26),0)</f>
        <v>116567</v>
      </c>
      <c r="H26" s="6" t="n">
        <f aca="false">SUM(B$4:B26)</f>
        <v>1816900</v>
      </c>
    </row>
    <row r="27" customFormat="false" ht="15.75" hidden="false" customHeight="true" outlineLevel="0" collapsed="false">
      <c r="A27" s="5" t="s">
        <v>69</v>
      </c>
      <c r="B27" s="5" t="n">
        <v>131400</v>
      </c>
      <c r="C27" s="5" t="n">
        <v>117</v>
      </c>
      <c r="D27" s="5" t="n">
        <v>77</v>
      </c>
      <c r="E27" s="5" t="n">
        <f aca="false">B26</f>
        <v>121800</v>
      </c>
      <c r="F27" s="5" t="str">
        <f aca="false">IFERROR(ROUND((B27-B26)/B26*100,1)&amp;"%","-")</f>
        <v>7.9%</v>
      </c>
      <c r="G27" s="5" t="n">
        <f aca="false">ROUND(AVERAGE(B25:B27),0)</f>
        <v>121833</v>
      </c>
      <c r="H27" s="5" t="n">
        <f aca="false">SUM(B$4:B27)</f>
        <v>1948300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37.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4" t="s">
        <v>4</v>
      </c>
      <c r="B3" s="4" t="s">
        <v>72</v>
      </c>
      <c r="C3" s="4" t="s">
        <v>5</v>
      </c>
      <c r="D3" s="4" t="s">
        <v>73</v>
      </c>
      <c r="E3" s="4" t="s">
        <v>74</v>
      </c>
      <c r="F3" s="4" t="s">
        <v>75</v>
      </c>
      <c r="G3" s="4" t="s">
        <v>76</v>
      </c>
      <c r="H3" s="4" t="s">
        <v>77</v>
      </c>
      <c r="J3" s="10" t="s">
        <v>4</v>
      </c>
      <c r="K3" s="10" t="s">
        <v>5</v>
      </c>
    </row>
    <row r="4" customFormat="false" ht="15.75" hidden="false" customHeight="true" outlineLevel="0" collapsed="false">
      <c r="A4" s="11" t="s">
        <v>11</v>
      </c>
      <c r="B4" s="11" t="s">
        <v>78</v>
      </c>
      <c r="C4" s="11" t="n">
        <v>8</v>
      </c>
      <c r="D4" s="11" t="n">
        <v>165000</v>
      </c>
      <c r="E4" s="11" t="n">
        <v>124300</v>
      </c>
      <c r="F4" s="11" t="n">
        <v>994400</v>
      </c>
      <c r="G4" s="11" t="n">
        <v>312000</v>
      </c>
      <c r="H4" s="11" t="n">
        <v>1890</v>
      </c>
      <c r="J4" s="6" t="s">
        <v>11</v>
      </c>
      <c r="K4" s="6" t="n">
        <v>28</v>
      </c>
    </row>
    <row r="5" customFormat="false" ht="15.75" hidden="false" customHeight="true" outlineLevel="0" collapsed="false">
      <c r="A5" s="11" t="s">
        <v>11</v>
      </c>
      <c r="B5" s="11" t="s">
        <v>79</v>
      </c>
      <c r="C5" s="11" t="n">
        <v>10</v>
      </c>
      <c r="D5" s="11" t="n">
        <v>148000</v>
      </c>
      <c r="E5" s="11" t="n">
        <v>118200</v>
      </c>
      <c r="F5" s="11" t="n">
        <v>1182000</v>
      </c>
      <c r="G5" s="11" t="n">
        <v>287000</v>
      </c>
      <c r="H5" s="11" t="n">
        <v>1740</v>
      </c>
      <c r="J5" s="5" t="s">
        <v>16</v>
      </c>
      <c r="K5" s="5" t="n">
        <v>51</v>
      </c>
    </row>
    <row r="6" customFormat="false" ht="15.75" hidden="false" customHeight="true" outlineLevel="0" collapsed="false">
      <c r="A6" s="11" t="s">
        <v>11</v>
      </c>
      <c r="B6" s="11" t="s">
        <v>80</v>
      </c>
      <c r="C6" s="11" t="n">
        <v>5</v>
      </c>
      <c r="D6" s="11" t="n">
        <v>158000</v>
      </c>
      <c r="E6" s="11" t="n">
        <v>115800</v>
      </c>
      <c r="F6" s="11" t="n">
        <v>579000</v>
      </c>
      <c r="G6" s="11" t="n">
        <v>198000</v>
      </c>
      <c r="H6" s="11" t="n">
        <v>1650</v>
      </c>
      <c r="J6" s="6" t="s">
        <v>21</v>
      </c>
      <c r="K6" s="6" t="n">
        <v>21</v>
      </c>
    </row>
    <row r="7" customFormat="false" ht="15.75" hidden="false" customHeight="true" outlineLevel="0" collapsed="false">
      <c r="A7" s="11" t="s">
        <v>11</v>
      </c>
      <c r="B7" s="11" t="s">
        <v>81</v>
      </c>
      <c r="C7" s="11" t="n">
        <v>3</v>
      </c>
      <c r="D7" s="11" t="n">
        <v>161000</v>
      </c>
      <c r="E7" s="11" t="n">
        <v>121000</v>
      </c>
      <c r="F7" s="11" t="n">
        <v>363000</v>
      </c>
      <c r="G7" s="11" t="n">
        <v>142000</v>
      </c>
      <c r="H7" s="11" t="n">
        <v>1810</v>
      </c>
    </row>
    <row r="8" customFormat="false" ht="15.75" hidden="false" customHeight="true" outlineLevel="0" collapsed="false">
      <c r="A8" s="11" t="s">
        <v>11</v>
      </c>
      <c r="B8" s="11" t="s">
        <v>82</v>
      </c>
      <c r="C8" s="11" t="n">
        <v>2</v>
      </c>
      <c r="D8" s="11" t="n">
        <v>142000</v>
      </c>
      <c r="E8" s="11" t="n">
        <v>109000</v>
      </c>
      <c r="F8" s="11" t="n">
        <v>218000</v>
      </c>
      <c r="G8" s="11" t="n">
        <v>98000</v>
      </c>
      <c r="H8" s="11" t="n">
        <v>1720</v>
      </c>
    </row>
    <row r="9" customFormat="false" ht="15.75" hidden="false" customHeight="true" outlineLevel="0" collapsed="false">
      <c r="A9" s="12" t="s">
        <v>16</v>
      </c>
      <c r="B9" s="12" t="s">
        <v>78</v>
      </c>
      <c r="C9" s="12" t="n">
        <v>9</v>
      </c>
      <c r="D9" s="12" t="n">
        <v>76000</v>
      </c>
      <c r="E9" s="12" t="n">
        <v>14200</v>
      </c>
      <c r="F9" s="12" t="n">
        <v>127800</v>
      </c>
      <c r="G9" s="12" t="n">
        <v>89000</v>
      </c>
      <c r="H9" s="12" t="n">
        <v>820</v>
      </c>
    </row>
    <row r="10" customFormat="false" ht="15.75" hidden="false" customHeight="true" outlineLevel="0" collapsed="false">
      <c r="A10" s="12" t="s">
        <v>16</v>
      </c>
      <c r="B10" s="12" t="s">
        <v>79</v>
      </c>
      <c r="C10" s="12" t="n">
        <v>12</v>
      </c>
      <c r="D10" s="12" t="n">
        <v>74000</v>
      </c>
      <c r="E10" s="12" t="n">
        <v>15100</v>
      </c>
      <c r="F10" s="12" t="n">
        <v>181200</v>
      </c>
      <c r="G10" s="12" t="n">
        <v>112000</v>
      </c>
      <c r="H10" s="12" t="n">
        <v>790</v>
      </c>
    </row>
    <row r="11" customFormat="false" ht="15.75" hidden="false" customHeight="true" outlineLevel="0" collapsed="false">
      <c r="A11" s="12" t="s">
        <v>16</v>
      </c>
      <c r="B11" s="12" t="s">
        <v>83</v>
      </c>
      <c r="C11" s="12" t="n">
        <v>8</v>
      </c>
      <c r="D11" s="12" t="n">
        <v>72000</v>
      </c>
      <c r="E11" s="12" t="n">
        <v>13800</v>
      </c>
      <c r="F11" s="12" t="n">
        <v>110400</v>
      </c>
      <c r="G11" s="12" t="n">
        <v>76000</v>
      </c>
      <c r="H11" s="12" t="n">
        <v>810</v>
      </c>
    </row>
    <row r="12" customFormat="false" ht="15.75" hidden="false" customHeight="true" outlineLevel="0" collapsed="false">
      <c r="A12" s="12" t="s">
        <v>16</v>
      </c>
      <c r="B12" s="12" t="s">
        <v>80</v>
      </c>
      <c r="C12" s="12" t="n">
        <v>9</v>
      </c>
      <c r="D12" s="12" t="n">
        <v>71000</v>
      </c>
      <c r="E12" s="12" t="n">
        <v>14600</v>
      </c>
      <c r="F12" s="12" t="n">
        <v>131400</v>
      </c>
      <c r="G12" s="12" t="n">
        <v>82000</v>
      </c>
      <c r="H12" s="12" t="n">
        <v>830</v>
      </c>
    </row>
    <row r="13" customFormat="false" ht="15.75" hidden="false" customHeight="true" outlineLevel="0" collapsed="false">
      <c r="A13" s="12" t="s">
        <v>16</v>
      </c>
      <c r="B13" s="12" t="s">
        <v>84</v>
      </c>
      <c r="C13" s="12" t="n">
        <v>7</v>
      </c>
      <c r="D13" s="12" t="n">
        <v>69000</v>
      </c>
      <c r="E13" s="12" t="n">
        <v>13200</v>
      </c>
      <c r="F13" s="12" t="n">
        <v>92400</v>
      </c>
      <c r="G13" s="12" t="n">
        <v>58000</v>
      </c>
      <c r="H13" s="12" t="n">
        <v>780</v>
      </c>
    </row>
    <row r="14" customFormat="false" ht="15.75" hidden="false" customHeight="true" outlineLevel="0" collapsed="false">
      <c r="A14" s="12" t="s">
        <v>16</v>
      </c>
      <c r="B14" s="12" t="s">
        <v>81</v>
      </c>
      <c r="C14" s="12" t="n">
        <v>6</v>
      </c>
      <c r="D14" s="12" t="n">
        <v>74000</v>
      </c>
      <c r="E14" s="12" t="n">
        <v>15400</v>
      </c>
      <c r="F14" s="12" t="n">
        <v>92400</v>
      </c>
      <c r="G14" s="12" t="n">
        <v>61000</v>
      </c>
      <c r="H14" s="12" t="n">
        <v>800</v>
      </c>
    </row>
    <row r="15" customFormat="false" ht="15.75" hidden="false" customHeight="true" outlineLevel="0" collapsed="false">
      <c r="A15" s="13" t="s">
        <v>21</v>
      </c>
      <c r="B15" s="13" t="s">
        <v>85</v>
      </c>
      <c r="C15" s="13" t="n">
        <v>5</v>
      </c>
      <c r="D15" s="13" t="n">
        <v>38000</v>
      </c>
      <c r="E15" s="13" t="n">
        <v>2800</v>
      </c>
      <c r="F15" s="13" t="n">
        <v>14000</v>
      </c>
      <c r="G15" s="13" t="n">
        <v>22000</v>
      </c>
      <c r="H15" s="13" t="n">
        <v>420</v>
      </c>
    </row>
    <row r="16" customFormat="false" ht="15.75" hidden="false" customHeight="true" outlineLevel="0" collapsed="false">
      <c r="A16" s="13" t="s">
        <v>21</v>
      </c>
      <c r="B16" s="13" t="s">
        <v>79</v>
      </c>
      <c r="C16" s="13" t="n">
        <v>6</v>
      </c>
      <c r="D16" s="13" t="n">
        <v>34000</v>
      </c>
      <c r="E16" s="13" t="n">
        <v>3100</v>
      </c>
      <c r="F16" s="13" t="n">
        <v>18600</v>
      </c>
      <c r="G16" s="13" t="n">
        <v>28000</v>
      </c>
      <c r="H16" s="13" t="n">
        <v>390</v>
      </c>
    </row>
    <row r="17" customFormat="false" ht="15.75" hidden="false" customHeight="true" outlineLevel="0" collapsed="false">
      <c r="A17" s="13" t="s">
        <v>21</v>
      </c>
      <c r="B17" s="13" t="s">
        <v>78</v>
      </c>
      <c r="C17" s="13" t="n">
        <v>4</v>
      </c>
      <c r="D17" s="13" t="n">
        <v>32000</v>
      </c>
      <c r="E17" s="13" t="n">
        <v>2950</v>
      </c>
      <c r="F17" s="13" t="n">
        <v>11800</v>
      </c>
      <c r="G17" s="13" t="n">
        <v>18000</v>
      </c>
      <c r="H17" s="13" t="n">
        <v>410</v>
      </c>
    </row>
    <row r="18" customFormat="false" ht="15.75" hidden="false" customHeight="true" outlineLevel="0" collapsed="false">
      <c r="A18" s="13" t="s">
        <v>21</v>
      </c>
      <c r="B18" s="13" t="s">
        <v>82</v>
      </c>
      <c r="C18" s="13" t="n">
        <v>3</v>
      </c>
      <c r="D18" s="13" t="n">
        <v>30000</v>
      </c>
      <c r="E18" s="13" t="n">
        <v>2700</v>
      </c>
      <c r="F18" s="13" t="n">
        <v>8100</v>
      </c>
      <c r="G18" s="13" t="n">
        <v>14000</v>
      </c>
      <c r="H18" s="13" t="n">
        <v>380</v>
      </c>
    </row>
    <row r="19" customFormat="false" ht="15.75" hidden="false" customHeight="true" outlineLevel="0" collapsed="false">
      <c r="A19" s="13" t="s">
        <v>21</v>
      </c>
      <c r="B19" s="13" t="s">
        <v>80</v>
      </c>
      <c r="C19" s="13" t="n">
        <v>3</v>
      </c>
      <c r="D19" s="13" t="n">
        <v>29000</v>
      </c>
      <c r="E19" s="13" t="n">
        <v>3400</v>
      </c>
      <c r="F19" s="13" t="n">
        <v>10200</v>
      </c>
      <c r="G19" s="13" t="n">
        <v>16000</v>
      </c>
      <c r="H19" s="13" t="n">
        <v>430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3"/>
  </cols>
  <sheetData>
    <row r="1" customFormat="false" ht="37.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87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14" t="s">
        <v>88</v>
      </c>
      <c r="B4" s="14"/>
      <c r="C4" s="14"/>
      <c r="D4" s="15" t="s">
        <v>89</v>
      </c>
      <c r="E4" s="15"/>
      <c r="F4" s="15"/>
      <c r="G4" s="16" t="s">
        <v>90</v>
      </c>
      <c r="H4" s="16"/>
      <c r="I4" s="16"/>
    </row>
    <row r="5" customFormat="false" ht="24" hidden="false" customHeight="true" outlineLevel="0" collapsed="false">
      <c r="A5" s="14"/>
      <c r="B5" s="14"/>
      <c r="C5" s="14"/>
      <c r="D5" s="15"/>
      <c r="E5" s="15"/>
      <c r="F5" s="15"/>
      <c r="G5" s="16"/>
      <c r="H5" s="16"/>
      <c r="I5" s="16"/>
    </row>
    <row r="7" customFormat="false" ht="27.75" hidden="false" customHeight="true" outlineLevel="0" collapsed="false">
      <c r="A7" s="4" t="s">
        <v>91</v>
      </c>
      <c r="B7" s="4" t="s">
        <v>92</v>
      </c>
      <c r="C7" s="4" t="s">
        <v>93</v>
      </c>
      <c r="D7" s="4" t="s">
        <v>4</v>
      </c>
      <c r="E7" s="4" t="s">
        <v>94</v>
      </c>
      <c r="F7" s="4" t="s">
        <v>72</v>
      </c>
      <c r="G7" s="4" t="s">
        <v>95</v>
      </c>
      <c r="H7" s="4" t="s">
        <v>96</v>
      </c>
      <c r="I7" s="4" t="s">
        <v>97</v>
      </c>
      <c r="J7" s="4" t="s">
        <v>98</v>
      </c>
    </row>
    <row r="8" customFormat="false" ht="15.75" hidden="false" customHeight="true" outlineLevel="0" collapsed="false">
      <c r="A8" s="17" t="n">
        <v>13</v>
      </c>
      <c r="B8" s="17" t="s">
        <v>99</v>
      </c>
      <c r="C8" s="17" t="s">
        <v>100</v>
      </c>
      <c r="D8" s="17" t="s">
        <v>21</v>
      </c>
      <c r="E8" s="17" t="s">
        <v>101</v>
      </c>
      <c r="F8" s="17" t="s">
        <v>85</v>
      </c>
      <c r="G8" s="17" t="s">
        <v>102</v>
      </c>
      <c r="H8" s="17" t="n">
        <v>2105</v>
      </c>
      <c r="I8" s="17" t="n">
        <v>890</v>
      </c>
      <c r="J8" s="18" t="s">
        <v>103</v>
      </c>
    </row>
    <row r="9" customFormat="false" ht="15.75" hidden="false" customHeight="true" outlineLevel="0" collapsed="false">
      <c r="A9" s="17" t="n">
        <v>20</v>
      </c>
      <c r="B9" s="17" t="s">
        <v>104</v>
      </c>
      <c r="C9" s="17" t="s">
        <v>105</v>
      </c>
      <c r="D9" s="17" t="s">
        <v>21</v>
      </c>
      <c r="E9" s="17" t="s">
        <v>106</v>
      </c>
      <c r="F9" s="17" t="s">
        <v>78</v>
      </c>
      <c r="G9" s="17" t="s">
        <v>107</v>
      </c>
      <c r="H9" s="17" t="n">
        <v>1996</v>
      </c>
      <c r="I9" s="17" t="n">
        <v>650</v>
      </c>
      <c r="J9" s="18" t="s">
        <v>103</v>
      </c>
    </row>
    <row r="10" customFormat="false" ht="15.75" hidden="false" customHeight="true" outlineLevel="0" collapsed="false">
      <c r="A10" s="17" t="n">
        <v>34</v>
      </c>
      <c r="B10" s="17" t="s">
        <v>108</v>
      </c>
      <c r="C10" s="17" t="s">
        <v>109</v>
      </c>
      <c r="D10" s="17" t="s">
        <v>16</v>
      </c>
      <c r="E10" s="17" t="s">
        <v>110</v>
      </c>
      <c r="F10" s="17" t="s">
        <v>81</v>
      </c>
      <c r="G10" s="17" t="s">
        <v>111</v>
      </c>
      <c r="H10" s="17" t="n">
        <v>1897</v>
      </c>
      <c r="I10" s="17" t="n">
        <v>920</v>
      </c>
      <c r="J10" s="18" t="s">
        <v>103</v>
      </c>
    </row>
    <row r="11" customFormat="false" ht="15.75" hidden="false" customHeight="true" outlineLevel="0" collapsed="false">
      <c r="A11" s="17" t="n">
        <v>40</v>
      </c>
      <c r="B11" s="17" t="s">
        <v>112</v>
      </c>
      <c r="C11" s="17" t="s">
        <v>113</v>
      </c>
      <c r="D11" s="17" t="s">
        <v>21</v>
      </c>
      <c r="E11" s="17" t="s">
        <v>114</v>
      </c>
      <c r="F11" s="17" t="s">
        <v>79</v>
      </c>
      <c r="G11" s="17" t="s">
        <v>115</v>
      </c>
      <c r="H11" s="17" t="n">
        <v>1826</v>
      </c>
      <c r="I11" s="17" t="n">
        <v>510</v>
      </c>
      <c r="J11" s="18" t="s">
        <v>103</v>
      </c>
    </row>
    <row r="12" customFormat="false" ht="15.75" hidden="false" customHeight="true" outlineLevel="0" collapsed="false">
      <c r="A12" s="17" t="n">
        <v>22</v>
      </c>
      <c r="B12" s="17" t="s">
        <v>116</v>
      </c>
      <c r="C12" s="17" t="s">
        <v>117</v>
      </c>
      <c r="D12" s="17" t="s">
        <v>21</v>
      </c>
      <c r="E12" s="17" t="s">
        <v>114</v>
      </c>
      <c r="F12" s="17" t="s">
        <v>79</v>
      </c>
      <c r="G12" s="17" t="s">
        <v>118</v>
      </c>
      <c r="H12" s="17" t="n">
        <v>1715</v>
      </c>
      <c r="I12" s="17" t="n">
        <v>420</v>
      </c>
      <c r="J12" s="18" t="s">
        <v>103</v>
      </c>
    </row>
    <row r="13" customFormat="false" ht="15.75" hidden="false" customHeight="true" outlineLevel="0" collapsed="false">
      <c r="A13" s="17" t="n">
        <v>36</v>
      </c>
      <c r="B13" s="17" t="s">
        <v>119</v>
      </c>
      <c r="C13" s="17" t="s">
        <v>120</v>
      </c>
      <c r="D13" s="17" t="s">
        <v>21</v>
      </c>
      <c r="E13" s="17" t="s">
        <v>121</v>
      </c>
      <c r="F13" s="17" t="s">
        <v>82</v>
      </c>
      <c r="G13" s="17" t="s">
        <v>122</v>
      </c>
      <c r="H13" s="17" t="n">
        <v>1646</v>
      </c>
      <c r="I13" s="17" t="n">
        <v>340</v>
      </c>
      <c r="J13" s="18" t="s">
        <v>103</v>
      </c>
    </row>
    <row r="14" customFormat="false" ht="15.75" hidden="false" customHeight="true" outlineLevel="0" collapsed="false">
      <c r="A14" s="17" t="n">
        <v>48</v>
      </c>
      <c r="B14" s="17" t="s">
        <v>123</v>
      </c>
      <c r="C14" s="17" t="s">
        <v>124</v>
      </c>
      <c r="D14" s="17" t="s">
        <v>21</v>
      </c>
      <c r="E14" s="17" t="s">
        <v>125</v>
      </c>
      <c r="F14" s="17" t="s">
        <v>84</v>
      </c>
      <c r="G14" s="17" t="s">
        <v>126</v>
      </c>
      <c r="H14" s="17" t="n">
        <v>1568</v>
      </c>
      <c r="I14" s="17" t="n">
        <v>280</v>
      </c>
      <c r="J14" s="18" t="s">
        <v>103</v>
      </c>
    </row>
    <row r="15" customFormat="false" ht="15.75" hidden="false" customHeight="true" outlineLevel="0" collapsed="false">
      <c r="A15" s="17" t="n">
        <v>62</v>
      </c>
      <c r="B15" s="17" t="s">
        <v>127</v>
      </c>
      <c r="C15" s="17" t="s">
        <v>128</v>
      </c>
      <c r="D15" s="17" t="s">
        <v>21</v>
      </c>
      <c r="E15" s="17" t="s">
        <v>129</v>
      </c>
      <c r="F15" s="17" t="s">
        <v>83</v>
      </c>
      <c r="G15" s="17" t="s">
        <v>130</v>
      </c>
      <c r="H15" s="17" t="n">
        <v>1492</v>
      </c>
      <c r="I15" s="17" t="n">
        <v>360</v>
      </c>
      <c r="J15" s="18" t="s">
        <v>103</v>
      </c>
    </row>
    <row r="16" customFormat="false" ht="15.75" hidden="false" customHeight="true" outlineLevel="0" collapsed="false">
      <c r="A16" s="19" t="n">
        <v>7</v>
      </c>
      <c r="B16" s="19" t="s">
        <v>131</v>
      </c>
      <c r="C16" s="19" t="s">
        <v>132</v>
      </c>
      <c r="D16" s="19" t="s">
        <v>16</v>
      </c>
      <c r="E16" s="19" t="s">
        <v>129</v>
      </c>
      <c r="F16" s="19" t="s">
        <v>83</v>
      </c>
      <c r="G16" s="19" t="s">
        <v>133</v>
      </c>
      <c r="H16" s="19" t="n">
        <v>866</v>
      </c>
      <c r="I16" s="19" t="n">
        <v>5640</v>
      </c>
      <c r="J16" s="20" t="s">
        <v>134</v>
      </c>
    </row>
    <row r="17" customFormat="false" ht="15.75" hidden="false" customHeight="true" outlineLevel="0" collapsed="false">
      <c r="A17" s="19" t="n">
        <v>10</v>
      </c>
      <c r="B17" s="19" t="s">
        <v>135</v>
      </c>
      <c r="C17" s="19" t="s">
        <v>136</v>
      </c>
      <c r="D17" s="19" t="s">
        <v>16</v>
      </c>
      <c r="E17" s="19" t="s">
        <v>137</v>
      </c>
      <c r="F17" s="19" t="s">
        <v>80</v>
      </c>
      <c r="G17" s="19" t="s">
        <v>138</v>
      </c>
      <c r="H17" s="19" t="n">
        <v>826</v>
      </c>
      <c r="I17" s="19" t="n">
        <v>2150</v>
      </c>
      <c r="J17" s="20" t="s">
        <v>134</v>
      </c>
    </row>
    <row r="18" customFormat="false" ht="15.75" hidden="false" customHeight="true" outlineLevel="0" collapsed="false">
      <c r="A18" s="19" t="n">
        <v>14</v>
      </c>
      <c r="B18" s="19" t="s">
        <v>139</v>
      </c>
      <c r="C18" s="19" t="s">
        <v>140</v>
      </c>
      <c r="D18" s="19" t="s">
        <v>16</v>
      </c>
      <c r="E18" s="19" t="s">
        <v>101</v>
      </c>
      <c r="F18" s="19" t="s">
        <v>85</v>
      </c>
      <c r="G18" s="19" t="s">
        <v>141</v>
      </c>
      <c r="H18" s="19" t="n">
        <v>804</v>
      </c>
      <c r="I18" s="19" t="n">
        <v>4320</v>
      </c>
      <c r="J18" s="20" t="s">
        <v>134</v>
      </c>
    </row>
    <row r="19" customFormat="false" ht="15.75" hidden="false" customHeight="true" outlineLevel="0" collapsed="false">
      <c r="A19" s="19" t="n">
        <v>18</v>
      </c>
      <c r="B19" s="19" t="s">
        <v>142</v>
      </c>
      <c r="C19" s="19" t="s">
        <v>143</v>
      </c>
      <c r="D19" s="19" t="s">
        <v>16</v>
      </c>
      <c r="E19" s="19" t="s">
        <v>121</v>
      </c>
      <c r="F19" s="19" t="s">
        <v>82</v>
      </c>
      <c r="G19" s="19" t="s">
        <v>144</v>
      </c>
      <c r="H19" s="19" t="n">
        <v>759</v>
      </c>
      <c r="I19" s="19" t="n">
        <v>1680</v>
      </c>
      <c r="J19" s="20" t="s">
        <v>134</v>
      </c>
    </row>
    <row r="20" customFormat="false" ht="15.75" hidden="false" customHeight="true" outlineLevel="0" collapsed="false">
      <c r="A20" s="19" t="n">
        <v>25</v>
      </c>
      <c r="B20" s="19" t="s">
        <v>145</v>
      </c>
      <c r="C20" s="19" t="s">
        <v>146</v>
      </c>
      <c r="D20" s="19" t="s">
        <v>16</v>
      </c>
      <c r="E20" s="19" t="s">
        <v>129</v>
      </c>
      <c r="F20" s="19" t="s">
        <v>83</v>
      </c>
      <c r="G20" s="19" t="s">
        <v>147</v>
      </c>
      <c r="H20" s="19" t="n">
        <v>740</v>
      </c>
      <c r="I20" s="19" t="n">
        <v>6780</v>
      </c>
      <c r="J20" s="20" t="s">
        <v>134</v>
      </c>
    </row>
    <row r="21" customFormat="false" ht="15.75" hidden="false" customHeight="true" outlineLevel="0" collapsed="false">
      <c r="A21" s="19" t="n">
        <v>29</v>
      </c>
      <c r="B21" s="19" t="s">
        <v>148</v>
      </c>
      <c r="C21" s="19" t="s">
        <v>149</v>
      </c>
      <c r="D21" s="19" t="s">
        <v>16</v>
      </c>
      <c r="E21" s="19" t="s">
        <v>125</v>
      </c>
      <c r="F21" s="19" t="s">
        <v>84</v>
      </c>
      <c r="G21" s="19" t="s">
        <v>150</v>
      </c>
      <c r="H21" s="19" t="n">
        <v>690</v>
      </c>
      <c r="I21" s="19" t="n">
        <v>9870</v>
      </c>
      <c r="J21" s="20" t="s">
        <v>134</v>
      </c>
    </row>
    <row r="22" customFormat="false" ht="15.75" hidden="false" customHeight="true" outlineLevel="0" collapsed="false">
      <c r="A22" s="19" t="n">
        <v>32</v>
      </c>
      <c r="B22" s="19" t="s">
        <v>151</v>
      </c>
      <c r="C22" s="19" t="s">
        <v>152</v>
      </c>
      <c r="D22" s="19" t="s">
        <v>21</v>
      </c>
      <c r="E22" s="19" t="s">
        <v>101</v>
      </c>
      <c r="F22" s="19" t="s">
        <v>85</v>
      </c>
      <c r="G22" s="19" t="s">
        <v>153</v>
      </c>
      <c r="H22" s="19" t="n">
        <v>676</v>
      </c>
      <c r="I22" s="19" t="n">
        <v>780</v>
      </c>
      <c r="J22" s="20" t="s">
        <v>134</v>
      </c>
    </row>
    <row r="23" customFormat="false" ht="15.75" hidden="false" customHeight="true" outlineLevel="0" collapsed="false">
      <c r="A23" s="19" t="n">
        <v>38</v>
      </c>
      <c r="B23" s="19" t="s">
        <v>154</v>
      </c>
      <c r="C23" s="19" t="s">
        <v>155</v>
      </c>
      <c r="D23" s="19" t="s">
        <v>16</v>
      </c>
      <c r="E23" s="19" t="s">
        <v>106</v>
      </c>
      <c r="F23" s="19" t="s">
        <v>78</v>
      </c>
      <c r="G23" s="19" t="s">
        <v>156</v>
      </c>
      <c r="H23" s="19" t="n">
        <v>654</v>
      </c>
      <c r="I23" s="19" t="n">
        <v>7840</v>
      </c>
      <c r="J23" s="20" t="s">
        <v>134</v>
      </c>
    </row>
    <row r="24" customFormat="false" ht="15.75" hidden="false" customHeight="true" outlineLevel="0" collapsed="false">
      <c r="A24" s="19" t="n">
        <v>45</v>
      </c>
      <c r="B24" s="19" t="s">
        <v>157</v>
      </c>
      <c r="C24" s="19" t="s">
        <v>158</v>
      </c>
      <c r="D24" s="19" t="s">
        <v>16</v>
      </c>
      <c r="E24" s="19" t="s">
        <v>137</v>
      </c>
      <c r="F24" s="19" t="s">
        <v>80</v>
      </c>
      <c r="G24" s="19" t="s">
        <v>159</v>
      </c>
      <c r="H24" s="19" t="n">
        <v>607</v>
      </c>
      <c r="I24" s="19" t="n">
        <v>14300</v>
      </c>
      <c r="J24" s="20" t="s">
        <v>134</v>
      </c>
    </row>
    <row r="25" customFormat="false" ht="15.75" hidden="false" customHeight="true" outlineLevel="0" collapsed="false">
      <c r="A25" s="19" t="n">
        <v>47</v>
      </c>
      <c r="B25" s="19" t="s">
        <v>160</v>
      </c>
      <c r="C25" s="19" t="s">
        <v>161</v>
      </c>
      <c r="D25" s="19" t="s">
        <v>16</v>
      </c>
      <c r="E25" s="19" t="s">
        <v>125</v>
      </c>
      <c r="F25" s="19" t="s">
        <v>84</v>
      </c>
      <c r="G25" s="19" t="s">
        <v>162</v>
      </c>
      <c r="H25" s="19" t="n">
        <v>591</v>
      </c>
      <c r="I25" s="19" t="n">
        <v>21500</v>
      </c>
      <c r="J25" s="20" t="s">
        <v>134</v>
      </c>
    </row>
    <row r="26" customFormat="false" ht="15.75" hidden="false" customHeight="true" outlineLevel="0" collapsed="false">
      <c r="A26" s="13" t="n">
        <v>2</v>
      </c>
      <c r="B26" s="13" t="s">
        <v>163</v>
      </c>
      <c r="C26" s="13" t="s">
        <v>164</v>
      </c>
      <c r="D26" s="13" t="s">
        <v>16</v>
      </c>
      <c r="E26" s="13" t="s">
        <v>106</v>
      </c>
      <c r="F26" s="13" t="s">
        <v>78</v>
      </c>
      <c r="G26" s="13" t="s">
        <v>165</v>
      </c>
      <c r="H26" s="13" t="n">
        <v>550</v>
      </c>
      <c r="I26" s="13" t="n">
        <v>3820</v>
      </c>
      <c r="J26" s="21" t="s">
        <v>166</v>
      </c>
    </row>
    <row r="27" customFormat="false" ht="15.75" hidden="false" customHeight="true" outlineLevel="0" collapsed="false">
      <c r="A27" s="13" t="n">
        <v>8</v>
      </c>
      <c r="B27" s="13" t="s">
        <v>167</v>
      </c>
      <c r="C27" s="13" t="s">
        <v>168</v>
      </c>
      <c r="D27" s="13" t="s">
        <v>16</v>
      </c>
      <c r="E27" s="13" t="s">
        <v>129</v>
      </c>
      <c r="F27" s="13" t="s">
        <v>83</v>
      </c>
      <c r="G27" s="13" t="s">
        <v>169</v>
      </c>
      <c r="H27" s="13" t="n">
        <v>537</v>
      </c>
      <c r="I27" s="13" t="n">
        <v>9230</v>
      </c>
      <c r="J27" s="21" t="s">
        <v>166</v>
      </c>
    </row>
    <row r="28" customFormat="false" ht="15.75" hidden="false" customHeight="true" outlineLevel="0" collapsed="false">
      <c r="A28" s="13" t="n">
        <v>11</v>
      </c>
      <c r="B28" s="13" t="s">
        <v>170</v>
      </c>
      <c r="C28" s="13" t="s">
        <v>171</v>
      </c>
      <c r="D28" s="13" t="s">
        <v>16</v>
      </c>
      <c r="E28" s="13" t="s">
        <v>125</v>
      </c>
      <c r="F28" s="13" t="s">
        <v>84</v>
      </c>
      <c r="G28" s="13" t="s">
        <v>172</v>
      </c>
      <c r="H28" s="13" t="n">
        <v>496</v>
      </c>
      <c r="I28" s="13" t="n">
        <v>7890</v>
      </c>
      <c r="J28" s="21" t="s">
        <v>166</v>
      </c>
    </row>
    <row r="29" customFormat="false" ht="15.75" hidden="false" customHeight="true" outlineLevel="0" collapsed="false">
      <c r="A29" s="13" t="n">
        <v>16</v>
      </c>
      <c r="B29" s="13" t="s">
        <v>173</v>
      </c>
      <c r="C29" s="13" t="s">
        <v>174</v>
      </c>
      <c r="D29" s="13" t="s">
        <v>16</v>
      </c>
      <c r="E29" s="13" t="s">
        <v>110</v>
      </c>
      <c r="F29" s="13" t="s">
        <v>81</v>
      </c>
      <c r="G29" s="13" t="s">
        <v>175</v>
      </c>
      <c r="H29" s="13" t="n">
        <v>472</v>
      </c>
      <c r="I29" s="13" t="n">
        <v>12400</v>
      </c>
      <c r="J29" s="21" t="s">
        <v>166</v>
      </c>
    </row>
    <row r="30" customFormat="false" ht="15.75" hidden="false" customHeight="true" outlineLevel="0" collapsed="false">
      <c r="A30" s="13" t="n">
        <v>21</v>
      </c>
      <c r="B30" s="13" t="s">
        <v>176</v>
      </c>
      <c r="C30" s="13" t="s">
        <v>177</v>
      </c>
      <c r="D30" s="13" t="s">
        <v>16</v>
      </c>
      <c r="E30" s="13" t="s">
        <v>114</v>
      </c>
      <c r="F30" s="13" t="s">
        <v>79</v>
      </c>
      <c r="G30" s="13" t="s">
        <v>178</v>
      </c>
      <c r="H30" s="13" t="n">
        <v>432</v>
      </c>
      <c r="I30" s="13" t="n">
        <v>8920</v>
      </c>
      <c r="J30" s="21" t="s">
        <v>166</v>
      </c>
    </row>
    <row r="31" customFormat="false" ht="15.75" hidden="false" customHeight="true" outlineLevel="0" collapsed="false">
      <c r="A31" s="13" t="n">
        <v>26</v>
      </c>
      <c r="B31" s="13" t="s">
        <v>179</v>
      </c>
      <c r="C31" s="13" t="s">
        <v>180</v>
      </c>
      <c r="D31" s="13" t="s">
        <v>16</v>
      </c>
      <c r="E31" s="13" t="s">
        <v>129</v>
      </c>
      <c r="F31" s="13" t="s">
        <v>83</v>
      </c>
      <c r="G31" s="13" t="s">
        <v>181</v>
      </c>
      <c r="H31" s="13" t="n">
        <v>408</v>
      </c>
      <c r="I31" s="13" t="n">
        <v>2340</v>
      </c>
      <c r="J31" s="21" t="s">
        <v>166</v>
      </c>
    </row>
  </sheetData>
  <mergeCells count="5">
    <mergeCell ref="A1:J1"/>
    <mergeCell ref="A2:J2"/>
    <mergeCell ref="A4:C5"/>
    <mergeCell ref="D4:F5"/>
    <mergeCell ref="G4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37.5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183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4" t="s">
        <v>184</v>
      </c>
      <c r="B3" s="4" t="s">
        <v>185</v>
      </c>
      <c r="C3" s="4" t="s">
        <v>94</v>
      </c>
      <c r="D3" s="4" t="s">
        <v>186</v>
      </c>
      <c r="E3" s="4" t="s">
        <v>187</v>
      </c>
      <c r="F3" s="4" t="s">
        <v>5</v>
      </c>
      <c r="G3" s="4" t="s">
        <v>39</v>
      </c>
      <c r="H3" s="4" t="s">
        <v>38</v>
      </c>
      <c r="I3" s="4" t="s">
        <v>188</v>
      </c>
    </row>
    <row r="4" customFormat="false" ht="15.75" hidden="false" customHeight="true" outlineLevel="0" collapsed="false">
      <c r="A4" s="22" t="n">
        <v>1</v>
      </c>
      <c r="B4" s="22" t="s">
        <v>189</v>
      </c>
      <c r="C4" s="22" t="s">
        <v>114</v>
      </c>
      <c r="D4" s="22" t="s">
        <v>190</v>
      </c>
      <c r="E4" s="22" t="n">
        <v>52</v>
      </c>
      <c r="F4" s="22" t="n">
        <v>14</v>
      </c>
      <c r="G4" s="22" t="n">
        <v>98</v>
      </c>
      <c r="H4" s="22" t="n">
        <v>131400</v>
      </c>
      <c r="I4" s="22" t="n">
        <v>2527</v>
      </c>
    </row>
    <row r="5" customFormat="false" ht="15.75" hidden="false" customHeight="true" outlineLevel="0" collapsed="false">
      <c r="A5" s="5" t="n">
        <v>2</v>
      </c>
      <c r="B5" s="5" t="s">
        <v>191</v>
      </c>
      <c r="C5" s="5" t="s">
        <v>192</v>
      </c>
      <c r="D5" s="5" t="s">
        <v>190</v>
      </c>
      <c r="E5" s="5" t="n">
        <v>30</v>
      </c>
      <c r="F5" s="5" t="n">
        <v>12</v>
      </c>
      <c r="G5" s="5" t="n">
        <v>84</v>
      </c>
      <c r="H5" s="5" t="n">
        <v>121800</v>
      </c>
      <c r="I5" s="5" t="n">
        <v>4060</v>
      </c>
    </row>
    <row r="6" customFormat="false" ht="15.75" hidden="false" customHeight="true" outlineLevel="0" collapsed="false">
      <c r="A6" s="6" t="n">
        <v>3</v>
      </c>
      <c r="B6" s="6" t="s">
        <v>193</v>
      </c>
      <c r="C6" s="6" t="s">
        <v>106</v>
      </c>
      <c r="D6" s="6" t="s">
        <v>194</v>
      </c>
      <c r="E6" s="6" t="n">
        <v>45</v>
      </c>
      <c r="F6" s="6" t="n">
        <v>13</v>
      </c>
      <c r="G6" s="6" t="n">
        <v>91</v>
      </c>
      <c r="H6" s="6" t="n">
        <v>115600</v>
      </c>
      <c r="I6" s="6" t="n">
        <v>2569</v>
      </c>
    </row>
    <row r="7" customFormat="false" ht="15.75" hidden="false" customHeight="true" outlineLevel="0" collapsed="false">
      <c r="A7" s="5" t="n">
        <v>4</v>
      </c>
      <c r="B7" s="5" t="s">
        <v>195</v>
      </c>
      <c r="C7" s="5" t="s">
        <v>137</v>
      </c>
      <c r="D7" s="5" t="s">
        <v>196</v>
      </c>
      <c r="E7" s="5" t="n">
        <v>35</v>
      </c>
      <c r="F7" s="5" t="n">
        <v>11</v>
      </c>
      <c r="G7" s="5" t="n">
        <v>77</v>
      </c>
      <c r="H7" s="5" t="n">
        <v>112300</v>
      </c>
      <c r="I7" s="5" t="n">
        <v>3209</v>
      </c>
    </row>
    <row r="8" customFormat="false" ht="15.75" hidden="false" customHeight="true" outlineLevel="0" collapsed="false">
      <c r="A8" s="6" t="n">
        <v>5</v>
      </c>
      <c r="B8" s="6" t="s">
        <v>197</v>
      </c>
      <c r="C8" s="6" t="s">
        <v>129</v>
      </c>
      <c r="D8" s="6" t="s">
        <v>198</v>
      </c>
      <c r="E8" s="6" t="n">
        <v>41</v>
      </c>
      <c r="F8" s="6" t="n">
        <v>12</v>
      </c>
      <c r="G8" s="6" t="n">
        <v>84</v>
      </c>
      <c r="H8" s="6" t="n">
        <v>107400</v>
      </c>
      <c r="I8" s="6" t="n">
        <v>2619</v>
      </c>
    </row>
    <row r="9" customFormat="false" ht="15.75" hidden="false" customHeight="true" outlineLevel="0" collapsed="false">
      <c r="A9" s="5" t="n">
        <v>6</v>
      </c>
      <c r="B9" s="5" t="s">
        <v>199</v>
      </c>
      <c r="C9" s="5" t="s">
        <v>121</v>
      </c>
      <c r="D9" s="5" t="s">
        <v>190</v>
      </c>
      <c r="E9" s="5" t="n">
        <v>27</v>
      </c>
      <c r="F9" s="5" t="n">
        <v>9</v>
      </c>
      <c r="G9" s="5" t="n">
        <v>63</v>
      </c>
      <c r="H9" s="5" t="n">
        <v>103200</v>
      </c>
      <c r="I9" s="5" t="n">
        <v>3822</v>
      </c>
    </row>
    <row r="10" customFormat="false" ht="15.75" hidden="false" customHeight="true" outlineLevel="0" collapsed="false">
      <c r="A10" s="6" t="n">
        <v>7</v>
      </c>
      <c r="B10" s="6" t="s">
        <v>200</v>
      </c>
      <c r="C10" s="6" t="s">
        <v>110</v>
      </c>
      <c r="D10" s="6" t="s">
        <v>194</v>
      </c>
      <c r="E10" s="6" t="n">
        <v>33</v>
      </c>
      <c r="F10" s="6" t="n">
        <v>10</v>
      </c>
      <c r="G10" s="6" t="n">
        <v>70</v>
      </c>
      <c r="H10" s="6" t="n">
        <v>96400</v>
      </c>
      <c r="I10" s="6" t="n">
        <v>2921</v>
      </c>
    </row>
    <row r="11" customFormat="false" ht="15.75" hidden="false" customHeight="true" outlineLevel="0" collapsed="false">
      <c r="A11" s="5" t="n">
        <v>8</v>
      </c>
      <c r="B11" s="5" t="s">
        <v>201</v>
      </c>
      <c r="C11" s="5" t="s">
        <v>106</v>
      </c>
      <c r="D11" s="5" t="s">
        <v>194</v>
      </c>
      <c r="E11" s="5" t="n">
        <v>38</v>
      </c>
      <c r="F11" s="5" t="n">
        <v>9</v>
      </c>
      <c r="G11" s="5" t="n">
        <v>63</v>
      </c>
      <c r="H11" s="5" t="n">
        <v>88700</v>
      </c>
      <c r="I11" s="5" t="n">
        <v>2334</v>
      </c>
    </row>
    <row r="12" customFormat="false" ht="15.75" hidden="false" customHeight="true" outlineLevel="0" collapsed="false">
      <c r="A12" s="6" t="n">
        <v>9</v>
      </c>
      <c r="B12" s="6" t="s">
        <v>202</v>
      </c>
      <c r="C12" s="6" t="s">
        <v>125</v>
      </c>
      <c r="D12" s="6" t="s">
        <v>196</v>
      </c>
      <c r="E12" s="6" t="n">
        <v>28</v>
      </c>
      <c r="F12" s="6" t="n">
        <v>8</v>
      </c>
      <c r="G12" s="6" t="n">
        <v>56</v>
      </c>
      <c r="H12" s="6" t="n">
        <v>79200</v>
      </c>
      <c r="I12" s="6" t="n">
        <v>2829</v>
      </c>
    </row>
    <row r="13" customFormat="false" ht="15.75" hidden="false" customHeight="true" outlineLevel="0" collapsed="false">
      <c r="A13" s="5" t="n">
        <v>10</v>
      </c>
      <c r="B13" s="5" t="s">
        <v>203</v>
      </c>
      <c r="C13" s="5" t="s">
        <v>101</v>
      </c>
      <c r="D13" s="5" t="s">
        <v>190</v>
      </c>
      <c r="E13" s="5" t="n">
        <v>22</v>
      </c>
      <c r="F13" s="5" t="n">
        <v>7</v>
      </c>
      <c r="G13" s="5" t="n">
        <v>49</v>
      </c>
      <c r="H13" s="5" t="n">
        <v>74300</v>
      </c>
      <c r="I13" s="5" t="n">
        <v>3377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4" min="2" style="0" width="9"/>
  </cols>
  <sheetData>
    <row r="1" customFormat="false" ht="37.5" hidden="false" customHeight="true" outlineLevel="0" collapsed="false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205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4" hidden="false" customHeight="true" outlineLevel="0" collapsed="false">
      <c r="A3" s="10" t="s">
        <v>206</v>
      </c>
      <c r="B3" s="10" t="s">
        <v>207</v>
      </c>
      <c r="C3" s="10" t="s">
        <v>208</v>
      </c>
      <c r="D3" s="10" t="s">
        <v>209</v>
      </c>
      <c r="E3" s="10" t="s">
        <v>210</v>
      </c>
      <c r="F3" s="10" t="s">
        <v>211</v>
      </c>
      <c r="G3" s="10" t="s">
        <v>212</v>
      </c>
      <c r="H3" s="10" t="s">
        <v>213</v>
      </c>
      <c r="I3" s="10" t="s">
        <v>214</v>
      </c>
      <c r="J3" s="10" t="s">
        <v>215</v>
      </c>
      <c r="K3" s="10" t="s">
        <v>216</v>
      </c>
      <c r="L3" s="10" t="s">
        <v>217</v>
      </c>
      <c r="M3" s="10" t="s">
        <v>218</v>
      </c>
      <c r="N3" s="10" t="s">
        <v>219</v>
      </c>
    </row>
    <row r="4" customFormat="false" ht="18" hidden="false" customHeight="true" outlineLevel="0" collapsed="false">
      <c r="A4" s="23" t="s">
        <v>45</v>
      </c>
      <c r="B4" s="24" t="n">
        <v>1</v>
      </c>
      <c r="C4" s="25" t="n">
        <v>0.82</v>
      </c>
      <c r="D4" s="25" t="n">
        <v>0.74</v>
      </c>
      <c r="E4" s="25" t="n">
        <v>0.68</v>
      </c>
      <c r="F4" s="25" t="n">
        <v>0.61</v>
      </c>
      <c r="G4" s="25" t="n">
        <v>0.57</v>
      </c>
      <c r="H4" s="25" t="n">
        <v>0.52</v>
      </c>
      <c r="I4" s="25" t="n">
        <v>0.48</v>
      </c>
      <c r="J4" s="25" t="n">
        <v>0.44</v>
      </c>
      <c r="K4" s="25" t="n">
        <v>0.41</v>
      </c>
      <c r="L4" s="25" t="n">
        <v>0.38</v>
      </c>
      <c r="M4" s="25" t="n">
        <v>0.36</v>
      </c>
      <c r="N4" s="25" t="n">
        <v>0.34</v>
      </c>
    </row>
    <row r="5" customFormat="false" ht="18" hidden="false" customHeight="true" outlineLevel="0" collapsed="false">
      <c r="A5" s="23" t="s">
        <v>49</v>
      </c>
      <c r="B5" s="24" t="n">
        <v>1</v>
      </c>
      <c r="C5" s="25" t="n">
        <v>0.79</v>
      </c>
      <c r="D5" s="25" t="n">
        <v>0.71</v>
      </c>
      <c r="E5" s="25" t="n">
        <v>0.64</v>
      </c>
      <c r="F5" s="25" t="n">
        <v>0.58</v>
      </c>
      <c r="G5" s="25" t="n">
        <v>0.53</v>
      </c>
      <c r="H5" s="25" t="n">
        <v>0.49</v>
      </c>
      <c r="I5" s="25" t="n">
        <v>0.45</v>
      </c>
      <c r="J5" s="25" t="n">
        <v>0.41</v>
      </c>
      <c r="K5" s="25" t="n">
        <v>0.38</v>
      </c>
      <c r="L5" s="25" t="n">
        <v>0.35</v>
      </c>
      <c r="M5" s="25" t="n">
        <v>0.33</v>
      </c>
      <c r="N5" s="26"/>
    </row>
    <row r="6" customFormat="false" ht="18" hidden="false" customHeight="true" outlineLevel="0" collapsed="false">
      <c r="A6" s="23" t="s">
        <v>52</v>
      </c>
      <c r="B6" s="24" t="n">
        <v>1</v>
      </c>
      <c r="C6" s="25" t="n">
        <v>0.84</v>
      </c>
      <c r="D6" s="25" t="n">
        <v>0.76</v>
      </c>
      <c r="E6" s="25" t="n">
        <v>0.7</v>
      </c>
      <c r="F6" s="25" t="n">
        <v>0.63</v>
      </c>
      <c r="G6" s="25" t="n">
        <v>0.59</v>
      </c>
      <c r="H6" s="25" t="n">
        <v>0.54</v>
      </c>
      <c r="I6" s="25" t="n">
        <v>0.5</v>
      </c>
      <c r="J6" s="25" t="n">
        <v>0.46</v>
      </c>
      <c r="K6" s="25" t="n">
        <v>0.43</v>
      </c>
      <c r="L6" s="25" t="n">
        <v>0.4</v>
      </c>
      <c r="M6" s="26"/>
      <c r="N6" s="26"/>
    </row>
    <row r="7" customFormat="false" ht="18" hidden="false" customHeight="true" outlineLevel="0" collapsed="false">
      <c r="A7" s="23" t="s">
        <v>55</v>
      </c>
      <c r="B7" s="24" t="n">
        <v>1</v>
      </c>
      <c r="C7" s="25" t="n">
        <v>0.77</v>
      </c>
      <c r="D7" s="25" t="n">
        <v>0.69</v>
      </c>
      <c r="E7" s="25" t="n">
        <v>0.62</v>
      </c>
      <c r="F7" s="25" t="n">
        <v>0.56</v>
      </c>
      <c r="G7" s="25" t="n">
        <v>0.51</v>
      </c>
      <c r="H7" s="25" t="n">
        <v>0.47</v>
      </c>
      <c r="I7" s="25" t="n">
        <v>0.43</v>
      </c>
      <c r="J7" s="25" t="n">
        <v>0.39</v>
      </c>
      <c r="K7" s="25" t="n">
        <v>0.36</v>
      </c>
      <c r="L7" s="26"/>
      <c r="M7" s="26"/>
      <c r="N7" s="26"/>
    </row>
    <row r="8" customFormat="false" ht="18" hidden="false" customHeight="true" outlineLevel="0" collapsed="false">
      <c r="A8" s="23" t="s">
        <v>58</v>
      </c>
      <c r="B8" s="24" t="n">
        <v>1</v>
      </c>
      <c r="C8" s="25" t="n">
        <v>0.81</v>
      </c>
      <c r="D8" s="25" t="n">
        <v>0.73</v>
      </c>
      <c r="E8" s="25" t="n">
        <v>0.67</v>
      </c>
      <c r="F8" s="25" t="n">
        <v>0.6</v>
      </c>
      <c r="G8" s="25" t="n">
        <v>0.56</v>
      </c>
      <c r="H8" s="25" t="n">
        <v>0.51</v>
      </c>
      <c r="I8" s="25" t="n">
        <v>0.47</v>
      </c>
      <c r="J8" s="25" t="n">
        <v>0.43</v>
      </c>
      <c r="K8" s="26"/>
      <c r="L8" s="26"/>
      <c r="M8" s="26"/>
      <c r="N8" s="26"/>
    </row>
    <row r="9" customFormat="false" ht="18" hidden="false" customHeight="true" outlineLevel="0" collapsed="false">
      <c r="A9" s="23" t="s">
        <v>61</v>
      </c>
      <c r="B9" s="24" t="n">
        <v>1</v>
      </c>
      <c r="C9" s="25" t="n">
        <v>0.8</v>
      </c>
      <c r="D9" s="25" t="n">
        <v>0.72</v>
      </c>
      <c r="E9" s="25" t="n">
        <v>0.65</v>
      </c>
      <c r="F9" s="25" t="n">
        <v>0.59</v>
      </c>
      <c r="G9" s="25" t="n">
        <v>0.54</v>
      </c>
      <c r="H9" s="25" t="n">
        <v>0.5</v>
      </c>
      <c r="I9" s="25" t="n">
        <v>0.46</v>
      </c>
      <c r="J9" s="26"/>
      <c r="K9" s="26"/>
      <c r="L9" s="26"/>
      <c r="M9" s="26"/>
      <c r="N9" s="26"/>
    </row>
    <row r="10" customFormat="false" ht="18" hidden="false" customHeight="true" outlineLevel="0" collapsed="false">
      <c r="A10" s="23" t="s">
        <v>64</v>
      </c>
      <c r="B10" s="24" t="n">
        <v>1</v>
      </c>
      <c r="C10" s="25" t="n">
        <v>0.83</v>
      </c>
      <c r="D10" s="25" t="n">
        <v>0.75</v>
      </c>
      <c r="E10" s="25" t="n">
        <v>0.69</v>
      </c>
      <c r="F10" s="25" t="n">
        <v>0.62</v>
      </c>
      <c r="G10" s="25" t="n">
        <v>0.58</v>
      </c>
      <c r="H10" s="25" t="n">
        <v>0.53</v>
      </c>
      <c r="I10" s="26"/>
      <c r="J10" s="26"/>
      <c r="K10" s="26"/>
      <c r="L10" s="26"/>
      <c r="M10" s="26"/>
      <c r="N10" s="26"/>
    </row>
    <row r="11" customFormat="false" ht="18" hidden="false" customHeight="true" outlineLevel="0" collapsed="false">
      <c r="A11" s="23" t="s">
        <v>67</v>
      </c>
      <c r="B11" s="24" t="n">
        <v>1</v>
      </c>
      <c r="C11" s="25" t="n">
        <v>0.78</v>
      </c>
      <c r="D11" s="25" t="n">
        <v>0.7</v>
      </c>
      <c r="E11" s="25" t="n">
        <v>0.63</v>
      </c>
      <c r="F11" s="25" t="n">
        <v>0.57</v>
      </c>
      <c r="G11" s="25" t="n">
        <v>0.52</v>
      </c>
      <c r="H11" s="26"/>
      <c r="I11" s="26"/>
      <c r="J11" s="26"/>
      <c r="K11" s="26"/>
      <c r="L11" s="26"/>
      <c r="M11" s="26"/>
      <c r="N11" s="26"/>
    </row>
    <row r="12" customFormat="false" ht="18" hidden="false" customHeight="true" outlineLevel="0" collapsed="false">
      <c r="A12" s="23" t="s">
        <v>220</v>
      </c>
      <c r="B12" s="24" t="n">
        <v>1</v>
      </c>
      <c r="C12" s="25" t="n">
        <v>0.85</v>
      </c>
      <c r="D12" s="25" t="n">
        <v>0.77</v>
      </c>
      <c r="E12" s="25" t="n">
        <v>0.71</v>
      </c>
      <c r="F12" s="25" t="n">
        <v>0.64</v>
      </c>
      <c r="G12" s="26"/>
      <c r="H12" s="26"/>
      <c r="I12" s="26"/>
      <c r="J12" s="26"/>
      <c r="K12" s="26"/>
      <c r="L12" s="26"/>
      <c r="M12" s="26"/>
      <c r="N12" s="26"/>
    </row>
    <row r="13" customFormat="false" ht="18" hidden="false" customHeight="true" outlineLevel="0" collapsed="false">
      <c r="A13" s="23" t="s">
        <v>221</v>
      </c>
      <c r="B13" s="24" t="n">
        <v>1</v>
      </c>
      <c r="C13" s="25" t="n">
        <v>0.82</v>
      </c>
      <c r="D13" s="25" t="n">
        <v>0.74</v>
      </c>
      <c r="E13" s="25" t="n">
        <v>0.67</v>
      </c>
      <c r="F13" s="26"/>
      <c r="G13" s="26"/>
      <c r="H13" s="26"/>
      <c r="I13" s="26"/>
      <c r="J13" s="26"/>
      <c r="K13" s="26"/>
      <c r="L13" s="26"/>
      <c r="M13" s="26"/>
      <c r="N13" s="26"/>
    </row>
    <row r="14" customFormat="false" ht="18" hidden="false" customHeight="true" outlineLevel="0" collapsed="false">
      <c r="A14" s="23" t="s">
        <v>222</v>
      </c>
      <c r="B14" s="24" t="n">
        <v>1</v>
      </c>
      <c r="C14" s="25" t="n">
        <v>0.8</v>
      </c>
      <c r="D14" s="25" t="n">
        <v>0.72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customFormat="false" ht="18" hidden="false" customHeight="true" outlineLevel="0" collapsed="false">
      <c r="A15" s="23" t="s">
        <v>223</v>
      </c>
      <c r="B15" s="24" t="n">
        <v>1</v>
      </c>
      <c r="C15" s="25" t="n">
        <v>0.83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7" customFormat="false" ht="18" hidden="false" customHeight="true" outlineLevel="0" collapsed="false">
      <c r="A17" s="27" t="s">
        <v>224</v>
      </c>
      <c r="B17" s="28" t="s">
        <v>225</v>
      </c>
      <c r="C17" s="29" t="s">
        <v>226</v>
      </c>
      <c r="D17" s="30" t="s">
        <v>227</v>
      </c>
      <c r="E17" s="31" t="s">
        <v>228</v>
      </c>
      <c r="F17" s="32" t="s">
        <v>229</v>
      </c>
    </row>
  </sheetData>
  <mergeCells count="2">
    <mergeCell ref="A1:N1"/>
    <mergeCell ref="A2:N2"/>
  </mergeCells>
  <conditionalFormatting sqref="B4:N15">
    <cfRule type="colorScale" priority="2">
      <colorScale>
        <cfvo type="num" val="0"/>
        <cfvo type="num" val="0.5"/>
        <cfvo type="num" val="1"/>
        <color rgb="FFC0392B"/>
        <color rgb="FFF9E79F"/>
        <color rgb="FF1E714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6"/>
    <col collapsed="false" customWidth="true" hidden="false" outlineLevel="0" max="10" min="10" style="0" width="13"/>
  </cols>
  <sheetData>
    <row r="1" customFormat="false" ht="37.5" hidden="false" customHeight="true" outlineLevel="0" collapsed="false">
      <c r="A1" s="1" t="s">
        <v>230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231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4" t="s">
        <v>184</v>
      </c>
      <c r="B3" s="4" t="s">
        <v>232</v>
      </c>
      <c r="C3" s="4" t="s">
        <v>4</v>
      </c>
      <c r="D3" s="4" t="s">
        <v>233</v>
      </c>
      <c r="E3" s="4" t="s">
        <v>72</v>
      </c>
      <c r="F3" s="4" t="s">
        <v>76</v>
      </c>
      <c r="G3" s="4" t="s">
        <v>39</v>
      </c>
      <c r="H3" s="4" t="s">
        <v>234</v>
      </c>
      <c r="I3" s="4" t="s">
        <v>235</v>
      </c>
      <c r="J3" s="4" t="s">
        <v>97</v>
      </c>
    </row>
    <row r="4" customFormat="false" ht="15.75" hidden="false" customHeight="true" outlineLevel="0" collapsed="false">
      <c r="A4" s="22" t="n">
        <v>1</v>
      </c>
      <c r="B4" s="22" t="s">
        <v>236</v>
      </c>
      <c r="C4" s="22" t="s">
        <v>11</v>
      </c>
      <c r="D4" s="22" t="s">
        <v>237</v>
      </c>
      <c r="E4" s="22" t="s">
        <v>78</v>
      </c>
      <c r="F4" s="22" t="n">
        <v>312800</v>
      </c>
      <c r="G4" s="22" t="n">
        <v>48</v>
      </c>
      <c r="H4" s="22" t="n">
        <v>26067</v>
      </c>
      <c r="I4" s="22" t="n">
        <v>312800</v>
      </c>
      <c r="J4" s="22" t="n">
        <v>720000</v>
      </c>
    </row>
    <row r="5" customFormat="false" ht="15.75" hidden="false" customHeight="true" outlineLevel="0" collapsed="false">
      <c r="A5" s="5" t="n">
        <v>2</v>
      </c>
      <c r="B5" s="5" t="s">
        <v>238</v>
      </c>
      <c r="C5" s="5" t="s">
        <v>11</v>
      </c>
      <c r="D5" s="5" t="s">
        <v>239</v>
      </c>
      <c r="E5" s="5" t="s">
        <v>79</v>
      </c>
      <c r="F5" s="5" t="n">
        <v>298400</v>
      </c>
      <c r="G5" s="5" t="n">
        <v>45</v>
      </c>
      <c r="H5" s="5" t="n">
        <v>24867</v>
      </c>
      <c r="I5" s="5" t="n">
        <v>298400</v>
      </c>
      <c r="J5" s="5" t="n">
        <v>620000</v>
      </c>
    </row>
    <row r="6" customFormat="false" ht="15.75" hidden="false" customHeight="true" outlineLevel="0" collapsed="false">
      <c r="A6" s="6" t="n">
        <v>3</v>
      </c>
      <c r="B6" s="6" t="s">
        <v>240</v>
      </c>
      <c r="C6" s="6" t="s">
        <v>11</v>
      </c>
      <c r="D6" s="6" t="s">
        <v>241</v>
      </c>
      <c r="E6" s="6" t="s">
        <v>79</v>
      </c>
      <c r="F6" s="6" t="n">
        <v>287200</v>
      </c>
      <c r="G6" s="6" t="n">
        <v>43</v>
      </c>
      <c r="H6" s="6" t="n">
        <v>23933</v>
      </c>
      <c r="I6" s="6" t="n">
        <v>287200</v>
      </c>
      <c r="J6" s="6" t="n">
        <v>580000</v>
      </c>
    </row>
    <row r="7" customFormat="false" ht="15.75" hidden="false" customHeight="true" outlineLevel="0" collapsed="false">
      <c r="A7" s="5" t="n">
        <v>4</v>
      </c>
      <c r="B7" s="5" t="s">
        <v>242</v>
      </c>
      <c r="C7" s="5" t="s">
        <v>11</v>
      </c>
      <c r="D7" s="5" t="s">
        <v>243</v>
      </c>
      <c r="E7" s="5" t="s">
        <v>78</v>
      </c>
      <c r="F7" s="5" t="n">
        <v>274600</v>
      </c>
      <c r="G7" s="5" t="n">
        <v>41</v>
      </c>
      <c r="H7" s="5" t="n">
        <v>22883</v>
      </c>
      <c r="I7" s="5" t="n">
        <v>274600</v>
      </c>
      <c r="J7" s="5" t="n">
        <v>510000</v>
      </c>
    </row>
    <row r="8" customFormat="false" ht="15.75" hidden="false" customHeight="true" outlineLevel="0" collapsed="false">
      <c r="A8" s="6" t="n">
        <v>5</v>
      </c>
      <c r="B8" s="6" t="s">
        <v>244</v>
      </c>
      <c r="C8" s="6" t="s">
        <v>11</v>
      </c>
      <c r="D8" s="6" t="s">
        <v>245</v>
      </c>
      <c r="E8" s="6" t="s">
        <v>80</v>
      </c>
      <c r="F8" s="6" t="n">
        <v>261300</v>
      </c>
      <c r="G8" s="6" t="n">
        <v>39</v>
      </c>
      <c r="H8" s="6" t="n">
        <v>21775</v>
      </c>
      <c r="I8" s="6" t="n">
        <v>261300</v>
      </c>
      <c r="J8" s="6" t="n">
        <v>490000</v>
      </c>
    </row>
    <row r="9" customFormat="false" ht="15.75" hidden="false" customHeight="true" outlineLevel="0" collapsed="false">
      <c r="A9" s="5" t="n">
        <v>6</v>
      </c>
      <c r="B9" s="5" t="s">
        <v>246</v>
      </c>
      <c r="C9" s="5" t="s">
        <v>11</v>
      </c>
      <c r="D9" s="5" t="s">
        <v>247</v>
      </c>
      <c r="E9" s="5" t="s">
        <v>80</v>
      </c>
      <c r="F9" s="5" t="n">
        <v>248900</v>
      </c>
      <c r="G9" s="5" t="n">
        <v>37</v>
      </c>
      <c r="H9" s="5" t="n">
        <v>20742</v>
      </c>
      <c r="I9" s="5" t="n">
        <v>248900</v>
      </c>
      <c r="J9" s="5" t="n">
        <v>450000</v>
      </c>
    </row>
    <row r="10" customFormat="false" ht="15.75" hidden="false" customHeight="true" outlineLevel="0" collapsed="false">
      <c r="A10" s="6" t="n">
        <v>7</v>
      </c>
      <c r="B10" s="6" t="s">
        <v>248</v>
      </c>
      <c r="C10" s="6" t="s">
        <v>11</v>
      </c>
      <c r="D10" s="6" t="s">
        <v>249</v>
      </c>
      <c r="E10" s="6" t="s">
        <v>79</v>
      </c>
      <c r="F10" s="6" t="n">
        <v>236400</v>
      </c>
      <c r="G10" s="6" t="n">
        <v>35</v>
      </c>
      <c r="H10" s="6" t="n">
        <v>19700</v>
      </c>
      <c r="I10" s="6" t="n">
        <v>236400</v>
      </c>
      <c r="J10" s="6" t="n">
        <v>430000</v>
      </c>
    </row>
    <row r="11" customFormat="false" ht="15.75" hidden="false" customHeight="true" outlineLevel="0" collapsed="false">
      <c r="A11" s="5" t="n">
        <v>8</v>
      </c>
      <c r="B11" s="5" t="s">
        <v>250</v>
      </c>
      <c r="C11" s="5" t="s">
        <v>11</v>
      </c>
      <c r="D11" s="5" t="s">
        <v>251</v>
      </c>
      <c r="E11" s="5" t="s">
        <v>78</v>
      </c>
      <c r="F11" s="5" t="n">
        <v>223800</v>
      </c>
      <c r="G11" s="5" t="n">
        <v>33</v>
      </c>
      <c r="H11" s="5" t="n">
        <v>18650</v>
      </c>
      <c r="I11" s="5" t="n">
        <v>223800</v>
      </c>
      <c r="J11" s="5" t="n">
        <v>410000</v>
      </c>
    </row>
    <row r="12" customFormat="false" ht="15.75" hidden="false" customHeight="true" outlineLevel="0" collapsed="false">
      <c r="A12" s="6" t="n">
        <v>9</v>
      </c>
      <c r="B12" s="6" t="s">
        <v>252</v>
      </c>
      <c r="C12" s="6" t="s">
        <v>11</v>
      </c>
      <c r="D12" s="6" t="s">
        <v>253</v>
      </c>
      <c r="E12" s="6" t="s">
        <v>78</v>
      </c>
      <c r="F12" s="6" t="n">
        <v>211200</v>
      </c>
      <c r="G12" s="6" t="n">
        <v>31</v>
      </c>
      <c r="H12" s="6" t="n">
        <v>17600</v>
      </c>
      <c r="I12" s="6" t="n">
        <v>211200</v>
      </c>
      <c r="J12" s="6" t="n">
        <v>380000</v>
      </c>
    </row>
    <row r="13" customFormat="false" ht="15.75" hidden="false" customHeight="true" outlineLevel="0" collapsed="false">
      <c r="A13" s="5" t="n">
        <v>10</v>
      </c>
      <c r="B13" s="5" t="s">
        <v>254</v>
      </c>
      <c r="C13" s="5" t="s">
        <v>11</v>
      </c>
      <c r="D13" s="5" t="s">
        <v>255</v>
      </c>
      <c r="E13" s="5" t="s">
        <v>81</v>
      </c>
      <c r="F13" s="5" t="n">
        <v>198600</v>
      </c>
      <c r="G13" s="5" t="n">
        <v>29</v>
      </c>
      <c r="H13" s="5" t="n">
        <v>16550</v>
      </c>
      <c r="I13" s="5" t="n">
        <v>198600</v>
      </c>
      <c r="J13" s="5" t="n">
        <v>345000</v>
      </c>
    </row>
    <row r="14" customFormat="false" ht="15.75" hidden="false" customHeight="true" outlineLevel="0" collapsed="false">
      <c r="A14" s="6" t="n">
        <v>11</v>
      </c>
      <c r="B14" s="6" t="s">
        <v>256</v>
      </c>
      <c r="C14" s="6" t="s">
        <v>11</v>
      </c>
      <c r="D14" s="6" t="s">
        <v>257</v>
      </c>
      <c r="E14" s="6" t="s">
        <v>79</v>
      </c>
      <c r="F14" s="6" t="n">
        <v>186000</v>
      </c>
      <c r="G14" s="6" t="n">
        <v>27</v>
      </c>
      <c r="H14" s="6" t="n">
        <v>15500</v>
      </c>
      <c r="I14" s="6" t="n">
        <v>186000</v>
      </c>
      <c r="J14" s="6" t="n">
        <v>325000</v>
      </c>
    </row>
    <row r="15" customFormat="false" ht="15.75" hidden="false" customHeight="true" outlineLevel="0" collapsed="false">
      <c r="A15" s="5" t="n">
        <v>12</v>
      </c>
      <c r="B15" s="5" t="s">
        <v>258</v>
      </c>
      <c r="C15" s="5" t="s">
        <v>11</v>
      </c>
      <c r="D15" s="5" t="s">
        <v>259</v>
      </c>
      <c r="E15" s="5" t="s">
        <v>78</v>
      </c>
      <c r="F15" s="5" t="n">
        <v>173400</v>
      </c>
      <c r="G15" s="5" t="n">
        <v>25</v>
      </c>
      <c r="H15" s="5" t="n">
        <v>14450</v>
      </c>
      <c r="I15" s="5" t="n">
        <v>173400</v>
      </c>
      <c r="J15" s="5" t="n">
        <v>298000</v>
      </c>
    </row>
    <row r="16" customFormat="false" ht="15.75" hidden="false" customHeight="true" outlineLevel="0" collapsed="false">
      <c r="A16" s="6" t="n">
        <v>13</v>
      </c>
      <c r="B16" s="6" t="s">
        <v>260</v>
      </c>
      <c r="C16" s="6" t="s">
        <v>16</v>
      </c>
      <c r="D16" s="6" t="s">
        <v>261</v>
      </c>
      <c r="E16" s="6" t="s">
        <v>81</v>
      </c>
      <c r="F16" s="6" t="n">
        <v>160800</v>
      </c>
      <c r="G16" s="6" t="n">
        <v>23</v>
      </c>
      <c r="H16" s="6" t="n">
        <v>13400</v>
      </c>
      <c r="I16" s="6" t="n">
        <v>160800</v>
      </c>
      <c r="J16" s="6" t="n">
        <v>260000</v>
      </c>
    </row>
    <row r="17" customFormat="false" ht="15.75" hidden="false" customHeight="true" outlineLevel="0" collapsed="false">
      <c r="A17" s="5" t="n">
        <v>14</v>
      </c>
      <c r="B17" s="5" t="s">
        <v>262</v>
      </c>
      <c r="C17" s="5" t="s">
        <v>11</v>
      </c>
      <c r="D17" s="5" t="s">
        <v>263</v>
      </c>
      <c r="E17" s="5" t="s">
        <v>82</v>
      </c>
      <c r="F17" s="5" t="n">
        <v>148200</v>
      </c>
      <c r="G17" s="5" t="n">
        <v>21</v>
      </c>
      <c r="H17" s="5" t="n">
        <v>12350</v>
      </c>
      <c r="I17" s="5" t="n">
        <v>148200</v>
      </c>
      <c r="J17" s="5" t="n">
        <v>230000</v>
      </c>
    </row>
    <row r="18" customFormat="false" ht="15.75" hidden="false" customHeight="true" outlineLevel="0" collapsed="false">
      <c r="A18" s="6" t="n">
        <v>15</v>
      </c>
      <c r="B18" s="6" t="s">
        <v>264</v>
      </c>
      <c r="C18" s="6" t="s">
        <v>11</v>
      </c>
      <c r="D18" s="6" t="s">
        <v>265</v>
      </c>
      <c r="E18" s="6" t="s">
        <v>84</v>
      </c>
      <c r="F18" s="6" t="n">
        <v>135600</v>
      </c>
      <c r="G18" s="6" t="n">
        <v>19</v>
      </c>
      <c r="H18" s="6" t="n">
        <v>11300</v>
      </c>
      <c r="I18" s="6" t="n">
        <v>135600</v>
      </c>
      <c r="J18" s="6" t="n">
        <v>210000</v>
      </c>
    </row>
    <row r="19" customFormat="false" ht="15.75" hidden="false" customHeight="true" outlineLevel="0" collapsed="false">
      <c r="A19" s="5" t="n">
        <v>16</v>
      </c>
      <c r="B19" s="5" t="s">
        <v>266</v>
      </c>
      <c r="C19" s="5" t="s">
        <v>11</v>
      </c>
      <c r="D19" s="5" t="s">
        <v>267</v>
      </c>
      <c r="E19" s="5" t="s">
        <v>83</v>
      </c>
      <c r="F19" s="5" t="n">
        <v>123000</v>
      </c>
      <c r="G19" s="5" t="n">
        <v>17</v>
      </c>
      <c r="H19" s="5" t="n">
        <v>10250</v>
      </c>
      <c r="I19" s="5" t="n">
        <v>123000</v>
      </c>
      <c r="J19" s="5" t="n">
        <v>185000</v>
      </c>
    </row>
    <row r="20" customFormat="false" ht="15.75" hidden="false" customHeight="true" outlineLevel="0" collapsed="false">
      <c r="A20" s="6" t="n">
        <v>17</v>
      </c>
      <c r="B20" s="6" t="s">
        <v>268</v>
      </c>
      <c r="C20" s="6" t="s">
        <v>11</v>
      </c>
      <c r="D20" s="6" t="s">
        <v>269</v>
      </c>
      <c r="E20" s="6" t="s">
        <v>79</v>
      </c>
      <c r="F20" s="6" t="n">
        <v>110400</v>
      </c>
      <c r="G20" s="6" t="n">
        <v>15</v>
      </c>
      <c r="H20" s="6" t="n">
        <v>9200</v>
      </c>
      <c r="I20" s="6" t="n">
        <v>110400</v>
      </c>
      <c r="J20" s="6" t="n">
        <v>175000</v>
      </c>
    </row>
    <row r="21" customFormat="false" ht="15.75" hidden="false" customHeight="true" outlineLevel="0" collapsed="false">
      <c r="A21" s="5" t="n">
        <v>18</v>
      </c>
      <c r="B21" s="5" t="s">
        <v>270</v>
      </c>
      <c r="C21" s="5" t="s">
        <v>11</v>
      </c>
      <c r="D21" s="5" t="s">
        <v>271</v>
      </c>
      <c r="E21" s="5" t="s">
        <v>85</v>
      </c>
      <c r="F21" s="5" t="n">
        <v>97800</v>
      </c>
      <c r="G21" s="5" t="n">
        <v>13</v>
      </c>
      <c r="H21" s="5" t="n">
        <v>8150</v>
      </c>
      <c r="I21" s="5" t="n">
        <v>97800</v>
      </c>
      <c r="J21" s="5" t="n">
        <v>165000</v>
      </c>
    </row>
    <row r="22" customFormat="false" ht="15.75" hidden="false" customHeight="true" outlineLevel="0" collapsed="false">
      <c r="A22" s="6" t="n">
        <v>19</v>
      </c>
      <c r="B22" s="6" t="s">
        <v>272</v>
      </c>
      <c r="C22" s="6" t="s">
        <v>11</v>
      </c>
      <c r="D22" s="6" t="s">
        <v>273</v>
      </c>
      <c r="E22" s="6" t="s">
        <v>84</v>
      </c>
      <c r="F22" s="6" t="n">
        <v>85200</v>
      </c>
      <c r="G22" s="6" t="n">
        <v>11</v>
      </c>
      <c r="H22" s="6" t="n">
        <v>7100</v>
      </c>
      <c r="I22" s="6" t="n">
        <v>85200</v>
      </c>
      <c r="J22" s="6" t="n">
        <v>150000</v>
      </c>
    </row>
    <row r="23" customFormat="false" ht="15.75" hidden="false" customHeight="true" outlineLevel="0" collapsed="false">
      <c r="A23" s="5" t="n">
        <v>20</v>
      </c>
      <c r="B23" s="5" t="s">
        <v>274</v>
      </c>
      <c r="C23" s="5" t="s">
        <v>11</v>
      </c>
      <c r="D23" s="5" t="s">
        <v>275</v>
      </c>
      <c r="E23" s="5" t="s">
        <v>82</v>
      </c>
      <c r="F23" s="5" t="n">
        <v>72600</v>
      </c>
      <c r="G23" s="5" t="n">
        <v>9</v>
      </c>
      <c r="H23" s="5" t="n">
        <v>6050</v>
      </c>
      <c r="I23" s="5" t="n">
        <v>72600</v>
      </c>
      <c r="J23" s="5" t="n">
        <v>138000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2026-05-21T03:51:39Z</dcterms:created>
  <dc:creator>openpyxl</dc:creator>
  <dc:description/>
  <dc:language>en-US</dc:language>
  <cp:lastModifiedBy/>
  <dcterms:modified xsi:type="dcterms:W3CDTF">2026-05-21T03:51:57Z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